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500" activeTab="1"/>
  </bookViews>
  <sheets>
    <sheet name="Содержание" sheetId="5" r:id="rId1"/>
    <sheet name="01" sheetId="1" r:id="rId2"/>
    <sheet name="02" sheetId="2" r:id="rId3"/>
    <sheet name="03" sheetId="3" r:id="rId4"/>
    <sheet name="04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<sst xmlns="http://schemas.openxmlformats.org/spreadsheetml/2006/main" count="95" uniqueCount="39">
  <si>
    <t>Содержание:</t>
  </si>
  <si>
    <t>1.  Индексы потребительских цен на товары и услуги по Российской Федерации в 1991-2026гг.</t>
  </si>
  <si>
    <t>1.1 Индексы потребительских цен на товары и услуги по Российской Федерации в 1991-2026 гг.</t>
  </si>
  <si>
    <t>1.2 Индексы потребительских цен на продовольственные товары по Российской Федерации в 1991-2026 гг.</t>
  </si>
  <si>
    <t>1.3 Индексы потребительских цен на непродовольственные товары по Российской Федерации в 1991-2026 гг.</t>
  </si>
  <si>
    <t>1.4 Индексы потребительских цен на услуги по Российской Федерации в 1991-2026 гг.</t>
  </si>
  <si>
    <t>Ответственный исполнитель:</t>
  </si>
  <si>
    <t>Гершов Сергей Александрович</t>
  </si>
  <si>
    <t>8 (495) 568-00-42, доб. 99-456</t>
  </si>
  <si>
    <t xml:space="preserve">Обновлено: </t>
  </si>
  <si>
    <t>10 апреля 2026 г.</t>
  </si>
  <si>
    <r>
      <rPr>
        <b/>
        <sz val="14"/>
        <rFont val="Calibri"/>
        <charset val="204"/>
      </rPr>
      <t>Индексы потребительских цен на товары и услуги</t>
    </r>
    <r>
      <rPr>
        <b/>
        <vertAlign val="superscript"/>
        <sz val="14"/>
        <rFont val="Calibri"/>
        <charset val="204"/>
      </rPr>
      <t>1)</t>
    </r>
    <r>
      <rPr>
        <b/>
        <sz val="14"/>
        <rFont val="Calibri"/>
        <charset val="204"/>
      </rPr>
      <t xml:space="preserve"> по Российской Федерации в 1991-2026</t>
    </r>
    <r>
      <rPr>
        <b/>
        <vertAlign val="superscript"/>
        <sz val="14"/>
        <rFont val="Calibri"/>
        <charset val="204"/>
      </rPr>
      <t>*)</t>
    </r>
    <r>
      <rPr>
        <b/>
        <sz val="14"/>
        <rFont val="Calibri"/>
        <charset val="204"/>
      </rPr>
      <t>гг.</t>
    </r>
  </si>
  <si>
    <t>К содержанию</t>
  </si>
  <si>
    <t>на конец периода, в %</t>
  </si>
  <si>
    <t>к концу предыдущего месяца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</si>
  <si>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</si>
  <si>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</si>
  <si>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</si>
  <si>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</si>
  <si>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</si>
  <si>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</si>
  <si>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</si>
  <si>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</si>
  <si>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</si>
  <si>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</si>
  <si>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</si>
  <si>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</si>
  <si>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к декабрю предыдущего года</t>
  </si>
  <si>
    <r>
      <rPr>
        <sz val="9"/>
        <color theme="1"/>
        <rFont val="Calibri"/>
        <charset val="204"/>
      </rPr>
      <t>102,97</t>
    </r>
    <r>
      <rPr>
        <vertAlign val="superscript"/>
        <sz val="9"/>
        <color theme="1"/>
        <rFont val="Calibri"/>
        <charset val="204"/>
      </rPr>
      <t>2)</t>
    </r>
  </si>
  <si>
    <r>
      <rPr>
        <vertAlign val="superscript"/>
        <sz val="11"/>
        <color theme="1"/>
        <rFont val="Calibri"/>
        <charset val="204"/>
      </rPr>
      <t xml:space="preserve">        1)</t>
    </r>
    <r>
      <rPr>
        <sz val="11"/>
        <color theme="1"/>
        <rFont val="Calibri"/>
        <charset val="204"/>
      </rPr>
      <t xml:space="preserve">в соответствии с Федеральным планом статистических работ, утвержденным распоряжением Правительства Российской Федерации от 6 мая 2008 г. № 671-р, Росстатом разрабатывается показатель 
</t>
    </r>
    <r>
      <rPr>
        <b/>
        <sz val="11"/>
        <color theme="1"/>
        <rFont val="Calibri"/>
        <charset val="204"/>
      </rPr>
      <t>«Индекс потребительских цен» (ИПЦ)</t>
    </r>
    <r>
      <rPr>
        <sz val="11"/>
        <color theme="1"/>
        <rFont val="Calibri"/>
        <charset val="204"/>
      </rPr>
      <t xml:space="preserve">, который используется в качестве одного из основных показателей, характеризующих </t>
    </r>
    <r>
      <rPr>
        <b/>
        <sz val="11"/>
        <color rgb="FFFF0000"/>
        <rFont val="Calibri"/>
        <charset val="204"/>
      </rPr>
      <t>уровень инфляции</t>
    </r>
    <r>
      <rPr>
        <sz val="11"/>
        <color theme="1"/>
        <rFont val="Calibri"/>
        <charset val="204"/>
      </rPr>
      <t xml:space="preserve"> в Российской Федерации; 
     </t>
    </r>
    <r>
      <rPr>
        <vertAlign val="superscript"/>
        <sz val="11"/>
        <color theme="1"/>
        <rFont val="Calibri"/>
        <charset val="204"/>
      </rPr>
      <t>2)</t>
    </r>
    <r>
      <rPr>
        <sz val="11"/>
        <color theme="1"/>
        <rFont val="Calibri"/>
        <charset val="204"/>
      </rPr>
      <t xml:space="preserve">март 2026 г. в % к декабрю 2025 г.
       Руководствуясь теорией статистики, для получения ИПЦ за произвольный период необходимо перемножить все входящие в этот временной промежуток индексы, характеризующие изменение цен в отчетном периоде по сравнению с предыдущим. Так, например, индекс потребительских цен по Российской Федерации за период 
апрель 2025 г. - сентябрь 2025 г. рассчитывается следующим образом:
                                                                                        100,40 * 100,43 : 100 * 100,20 : 100 * 100,57 : 100*99,60:100*100,34:100= 101,55%
 Обращаем Ваше внимание, что в январе 1998 г. была проведена деноминация, в результате которой произошло уменьшение масштаба цен в 1000 раз.  
      </t>
    </r>
    <r>
      <rPr>
        <b/>
        <i/>
        <sz val="11"/>
        <color theme="1"/>
        <rFont val="Calibri"/>
        <charset val="204"/>
      </rPr>
      <t>Методология расчета ИПЦ</t>
    </r>
    <r>
      <rPr>
        <sz val="11"/>
        <color theme="1"/>
        <rFont val="Calibri"/>
        <charset val="204"/>
      </rPr>
      <t xml:space="preserve"> размещена на сайте Росстата: Главная страница / Статистика / Официальная статистика / Цены, инфляция/ Методология</t>
    </r>
  </si>
  <si>
    <r>
      <rPr>
        <vertAlign val="superscript"/>
        <sz val="11"/>
        <color theme="1"/>
        <rFont val="Calibri"/>
        <charset val="204"/>
      </rPr>
      <t>*)</t>
    </r>
    <r>
      <rPr>
        <sz val="11"/>
        <color theme="1"/>
        <rFont val="Calibri"/>
        <charset val="204"/>
      </rPr>
      <t>Без учета статистической информации по Донецкой Народной Республике, Луганской Народной Республике, Запорожской и Херсонской областям.</t>
    </r>
  </si>
  <si>
    <r>
      <rPr>
        <b/>
        <sz val="14"/>
        <rFont val="Calibri"/>
        <charset val="204"/>
      </rPr>
      <t>Индексы потребительских цен на продовольственные товары по Российской Федерации в 1991-2026</t>
    </r>
    <r>
      <rPr>
        <b/>
        <vertAlign val="superscript"/>
        <sz val="14"/>
        <rFont val="Calibri"/>
        <charset val="204"/>
      </rPr>
      <t>*)</t>
    </r>
    <r>
      <rPr>
        <b/>
        <sz val="14"/>
        <rFont val="Calibri"/>
        <charset val="204"/>
      </rPr>
      <t>гг.</t>
    </r>
  </si>
  <si>
    <r>
      <rPr>
        <sz val="9"/>
        <rFont val="Calibri"/>
        <charset val="204"/>
      </rPr>
      <t>103,20</t>
    </r>
    <r>
      <rPr>
        <vertAlign val="superscript"/>
        <sz val="9"/>
        <rFont val="Calibri"/>
        <charset val="204"/>
      </rPr>
      <t>1)</t>
    </r>
  </si>
  <si>
    <r>
      <rPr>
        <vertAlign val="superscript"/>
        <sz val="9"/>
        <rFont val="Calibri"/>
        <charset val="204"/>
      </rPr>
      <t>1)</t>
    </r>
    <r>
      <rPr>
        <sz val="9"/>
        <rFont val="Calibri"/>
        <charset val="204"/>
      </rPr>
      <t xml:space="preserve">март 2026 г. в % к декабрю 2025 г.
 Обращаем Ваше внимание, что в январе 1998 г. была проведена деноминация, в результате которой произошло уменьшение масштаба цен в 1000 раз.  </t>
    </r>
  </si>
  <si>
    <r>
      <rPr>
        <vertAlign val="superscript"/>
        <sz val="9"/>
        <color theme="1"/>
        <rFont val="Calibri"/>
        <charset val="204"/>
      </rPr>
      <t>*)</t>
    </r>
    <r>
      <rPr>
        <sz val="9"/>
        <color theme="1"/>
        <rFont val="Calibri"/>
        <charset val="204"/>
      </rPr>
      <t>Без учета статистической информации по Донецкой Народной Республике, Луганской Народной Республике, Запорожской и Херсонской областям.</t>
    </r>
  </si>
  <si>
    <r>
      <rPr>
        <b/>
        <sz val="14"/>
        <rFont val="Calibri"/>
        <charset val="204"/>
      </rPr>
      <t>Индексы потребительских цен на непродовольственные товары по Российской Федерации в 1991-2026</t>
    </r>
    <r>
      <rPr>
        <b/>
        <vertAlign val="superscript"/>
        <sz val="14"/>
        <rFont val="Calibri"/>
        <charset val="204"/>
      </rPr>
      <t>*)</t>
    </r>
    <r>
      <rPr>
        <b/>
        <sz val="14"/>
        <rFont val="Calibri"/>
        <charset val="204"/>
      </rPr>
      <t>гг.</t>
    </r>
  </si>
  <si>
    <r>
      <rPr>
        <sz val="9"/>
        <rFont val="Calibri"/>
        <charset val="204"/>
      </rPr>
      <t>101,36</t>
    </r>
    <r>
      <rPr>
        <vertAlign val="superscript"/>
        <sz val="9"/>
        <rFont val="Calibri"/>
        <charset val="204"/>
      </rPr>
      <t>1)</t>
    </r>
  </si>
  <si>
    <r>
      <rPr>
        <b/>
        <sz val="14"/>
        <rFont val="Calibri"/>
        <charset val="204"/>
      </rPr>
      <t>Индексы потребительских цен на услуги по Российской Федерации в 1991-2026</t>
    </r>
    <r>
      <rPr>
        <b/>
        <vertAlign val="superscript"/>
        <sz val="14"/>
        <rFont val="Calibri"/>
        <charset val="204"/>
      </rPr>
      <t>*)</t>
    </r>
    <r>
      <rPr>
        <b/>
        <sz val="14"/>
        <rFont val="Calibri"/>
        <charset val="204"/>
      </rPr>
      <t>гг.</t>
    </r>
  </si>
  <si>
    <r>
      <rPr>
        <sz val="9"/>
        <rFont val="Calibri"/>
        <charset val="204"/>
      </rPr>
      <t>104,57</t>
    </r>
    <r>
      <rPr>
        <vertAlign val="superscript"/>
        <sz val="9"/>
        <rFont val="Calibri"/>
        <charset val="204"/>
      </rPr>
      <t>1)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</si>
</sst>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_-* #\ ##0.00\ _₽_-;\-* #\ ##0.00\ _₽_-;_-* &quot;-&quot;??\ _₽_-;_-@_-"/>
    <numFmt numFmtId="181" formatCode="_-* #\ ##0\ _₽_-;\-* #\ ##0\ _₽_-;_-* &quot;-&quot;\ _₽_-;_-@_-"/>
    <numFmt numFmtId="182" formatCode="_-* #\ ##0.00\ &quot;₽&quot;_-;\-* #\ ##0.00\ &quot;₽&quot;_-;_-* &quot;-&quot;??\ &quot;₽&quot;_-;_-@_-"/>
    <numFmt numFmtId="183" formatCode="_-* #\ ##0\ &quot;₽&quot;_-;\-* #\ ##0\ &quot;₽&quot;_-;_-* &quot;-&quot;\ &quot;₽&quot;_-;_-@_-"/>
    <numFmt numFmtId="184" formatCode="0.0000"/>
  </numFmts>
  <fonts count="42">
    <font>
      <sz val="11"/>
      <color theme="1"/>
      <name val="Times New Roman"/>
      <charset val="204"/>
    </font>
    <font>
      <sz val="11"/>
      <name val="Calibri"/>
      <charset val="204"/>
    </font>
    <font>
      <sz val="11"/>
      <color theme="1"/>
      <name val="Calibri"/>
      <charset val="204"/>
    </font>
    <font>
      <b/>
      <sz val="14"/>
      <name val="Calibri"/>
      <charset val="204"/>
    </font>
    <font>
      <u/>
      <sz val="12"/>
      <color theme="10"/>
      <name val="Times New Roman"/>
      <charset val="204"/>
    </font>
    <font>
      <b/>
      <sz val="14"/>
      <color theme="1"/>
      <name val="Calibri"/>
      <charset val="204"/>
    </font>
    <font>
      <sz val="9"/>
      <color theme="1"/>
      <name val="Calibri"/>
      <charset val="204"/>
    </font>
    <font>
      <b/>
      <sz val="9"/>
      <color theme="1"/>
      <name val="Calibri"/>
      <charset val="204"/>
    </font>
    <font>
      <sz val="9"/>
      <name val="Calibri"/>
      <charset val="204"/>
    </font>
    <font>
      <sz val="10"/>
      <color theme="1"/>
      <name val="Arial"/>
      <charset val="134"/>
    </font>
    <font>
      <b/>
      <i/>
      <u/>
      <sz val="12"/>
      <name val="Times New Roman"/>
      <charset val="204"/>
    </font>
    <font>
      <sz val="12"/>
      <name val="Times New Roman"/>
      <charset val="204"/>
    </font>
    <font>
      <b/>
      <i/>
      <sz val="12"/>
      <name val="Times New Roman"/>
      <charset val="204"/>
    </font>
    <font>
      <u/>
      <sz val="12"/>
      <color rgb="FF800080"/>
      <name val="Times New Roman"/>
      <charset val="204"/>
    </font>
    <font>
      <b/>
      <sz val="12"/>
      <name val="Times New Roman"/>
      <charset val="204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204"/>
      <scheme val="minor"/>
    </font>
    <font>
      <vertAlign val="superscript"/>
      <sz val="11"/>
      <color theme="1"/>
      <name val="Calibri"/>
      <charset val="204"/>
    </font>
    <font>
      <vertAlign val="superscript"/>
      <sz val="9"/>
      <name val="Calibri"/>
      <charset val="204"/>
    </font>
    <font>
      <vertAlign val="superscript"/>
      <sz val="9"/>
      <color theme="1"/>
      <name val="Calibri"/>
      <charset val="204"/>
    </font>
    <font>
      <b/>
      <sz val="11"/>
      <color theme="1"/>
      <name val="Calibri"/>
      <charset val="204"/>
    </font>
    <font>
      <b/>
      <sz val="11"/>
      <color rgb="FFFF0000"/>
      <name val="Calibri"/>
      <charset val="204"/>
    </font>
    <font>
      <b/>
      <i/>
      <sz val="11"/>
      <color theme="1"/>
      <name val="Calibri"/>
      <charset val="204"/>
    </font>
    <font>
      <b/>
      <vertAlign val="superscript"/>
      <sz val="14"/>
      <name val="Calibri"/>
      <charset val="20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9">
    <xf numFmtId="0" fontId="0" fillId="0" borderId="0"/>
    <xf numFmtId="176" fontId="15" fillId="0" borderId="0" applyFont="0" applyFill="0" applyBorder="0" applyAlignment="0" applyProtection="0">
      <alignment vertical="center"/>
    </xf>
    <xf numFmtId="177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178" fontId="15" fillId="0" borderId="0" applyFont="0" applyFill="0" applyBorder="0" applyAlignment="0" applyProtection="0">
      <alignment vertical="center"/>
    </xf>
    <xf numFmtId="179" fontId="15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center"/>
    </xf>
    <xf numFmtId="0" fontId="15" fillId="2" borderId="1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3" borderId="15" applyNumberFormat="0" applyAlignment="0" applyProtection="0">
      <alignment vertical="center"/>
    </xf>
    <xf numFmtId="0" fontId="24" fillId="4" borderId="16" applyNumberFormat="0" applyAlignment="0" applyProtection="0">
      <alignment vertical="center"/>
    </xf>
    <xf numFmtId="0" fontId="25" fillId="4" borderId="15" applyNumberFormat="0" applyAlignment="0" applyProtection="0">
      <alignment vertical="center"/>
    </xf>
    <xf numFmtId="0" fontId="26" fillId="5" borderId="17" applyNumberFormat="0" applyAlignment="0" applyProtection="0">
      <alignment vertical="center"/>
    </xf>
    <xf numFmtId="0" fontId="27" fillId="0" borderId="18" applyNumberFormat="0" applyFill="0" applyAlignment="0" applyProtection="0">
      <alignment vertical="center"/>
    </xf>
    <xf numFmtId="0" fontId="28" fillId="0" borderId="19" applyNumberFormat="0" applyFill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180" fontId="9" fillId="0" borderId="0" applyFont="0" applyFill="0" applyBorder="0" applyAlignment="0" applyProtection="0"/>
    <xf numFmtId="181" fontId="9" fillId="0" borderId="0" applyFont="0" applyFill="0" applyBorder="0" applyAlignment="0" applyProtection="0"/>
    <xf numFmtId="182" fontId="9" fillId="0" borderId="0" applyFont="0" applyFill="0" applyBorder="0" applyAlignment="0" applyProtection="0"/>
    <xf numFmtId="183" fontId="9" fillId="0" borderId="0" applyFont="0" applyFill="0" applyBorder="0" applyAlignment="0" applyProtection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9" fillId="0" borderId="0"/>
    <xf numFmtId="0" fontId="34" fillId="0" borderId="0"/>
    <xf numFmtId="0" fontId="34" fillId="0" borderId="0"/>
    <xf numFmtId="0" fontId="9" fillId="0" borderId="0"/>
    <xf numFmtId="0" fontId="34" fillId="0" borderId="0"/>
    <xf numFmtId="0" fontId="34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49" fontId="4" fillId="0" borderId="0" xfId="6" applyNumberFormat="1" applyFill="1" applyBorder="1" applyAlignment="1" applyProtection="1">
      <alignment horizontal="left" wrapText="1"/>
    </xf>
    <xf numFmtId="49" fontId="4" fillId="0" borderId="0" xfId="6" applyNumberFormat="1" applyFill="1" applyBorder="1" applyAlignment="1" applyProtection="1">
      <alignment wrapText="1"/>
    </xf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 wrapText="1"/>
    </xf>
    <xf numFmtId="2" fontId="6" fillId="0" borderId="4" xfId="0" applyNumberFormat="1" applyFont="1" applyBorder="1" applyAlignment="1">
      <alignment horizontal="center"/>
    </xf>
    <xf numFmtId="0" fontId="7" fillId="0" borderId="2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8" fillId="0" borderId="5" xfId="0" applyFont="1" applyBorder="1"/>
    <xf numFmtId="2" fontId="8" fillId="0" borderId="5" xfId="0" applyNumberFormat="1" applyFont="1" applyBorder="1" applyAlignment="1">
      <alignment horizontal="center"/>
    </xf>
    <xf numFmtId="0" fontId="8" fillId="0" borderId="0" xfId="0" applyFont="1" applyBorder="1" applyAlignment="1">
      <alignment horizontal="left" wrapText="1"/>
    </xf>
    <xf numFmtId="0" fontId="6" fillId="0" borderId="0" xfId="0" applyFont="1" applyAlignment="1">
      <alignment vertical="center"/>
    </xf>
    <xf numFmtId="0" fontId="6" fillId="0" borderId="6" xfId="0" applyFont="1" applyBorder="1"/>
    <xf numFmtId="2" fontId="6" fillId="0" borderId="7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7" fillId="0" borderId="8" xfId="0" applyFont="1" applyBorder="1" applyAlignment="1">
      <alignment horizontal="left" vertical="center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 vertical="center"/>
    </xf>
    <xf numFmtId="0" fontId="7" fillId="0" borderId="9" xfId="0" applyFont="1" applyBorder="1" applyAlignment="1">
      <alignment horizontal="left"/>
    </xf>
    <xf numFmtId="0" fontId="6" fillId="0" borderId="5" xfId="0" applyFont="1" applyBorder="1"/>
    <xf numFmtId="2" fontId="6" fillId="0" borderId="5" xfId="0" applyNumberFormat="1" applyFont="1" applyBorder="1" applyAlignment="1">
      <alignment horizontal="center"/>
    </xf>
    <xf numFmtId="0" fontId="2" fillId="0" borderId="10" xfId="0" applyFont="1" applyBorder="1" applyAlignment="1">
      <alignment horizontal="left" wrapText="1"/>
    </xf>
    <xf numFmtId="0" fontId="2" fillId="0" borderId="0" xfId="0" applyFont="1" applyAlignment="1">
      <alignment vertical="center"/>
    </xf>
    <xf numFmtId="0" fontId="7" fillId="0" borderId="4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/>
    </xf>
    <xf numFmtId="2" fontId="6" fillId="0" borderId="11" xfId="0" applyNumberFormat="1" applyFont="1" applyBorder="1" applyAlignment="1">
      <alignment horizontal="center"/>
    </xf>
    <xf numFmtId="184" fontId="2" fillId="0" borderId="0" xfId="0" applyNumberFormat="1" applyFont="1"/>
    <xf numFmtId="2" fontId="2" fillId="0" borderId="0" xfId="0" applyNumberFormat="1" applyFont="1"/>
    <xf numFmtId="0" fontId="6" fillId="0" borderId="5" xfId="0" applyFont="1" applyBorder="1" applyAlignment="1">
      <alignment horizontal="center"/>
    </xf>
    <xf numFmtId="0" fontId="9" fillId="0" borderId="0" xfId="55"/>
    <xf numFmtId="0" fontId="10" fillId="0" borderId="0" xfId="55" applyFont="1"/>
    <xf numFmtId="0" fontId="11" fillId="0" borderId="0" xfId="55" applyFont="1"/>
    <xf numFmtId="0" fontId="12" fillId="0" borderId="0" xfId="55" applyFont="1" applyAlignment="1">
      <alignment horizontal="left"/>
    </xf>
    <xf numFmtId="0" fontId="13" fillId="0" borderId="0" xfId="6" applyFont="1" applyFill="1" applyAlignment="1">
      <alignment horizontal="left" indent="1"/>
    </xf>
    <xf numFmtId="0" fontId="13" fillId="0" borderId="0" xfId="6" applyFont="1" applyFill="1" applyAlignment="1">
      <alignment horizontal="left" indent="1"/>
    </xf>
    <xf numFmtId="0" fontId="4" fillId="0" borderId="0" xfId="6" applyFill="1" applyAlignment="1">
      <alignment horizontal="left" indent="1"/>
    </xf>
    <xf numFmtId="0" fontId="12" fillId="0" borderId="0" xfId="55" applyFont="1"/>
    <xf numFmtId="0" fontId="11" fillId="0" borderId="0" xfId="55" applyFont="1" applyAlignment="1">
      <alignment horizontal="left"/>
    </xf>
    <xf numFmtId="0" fontId="14" fillId="0" borderId="0" xfId="55" applyFont="1" applyAlignment="1">
      <alignment horizontal="left"/>
    </xf>
  </cellXfs>
  <cellStyles count="6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Comma" xfId="49"/>
    <cellStyle name="Comma [0]" xfId="50"/>
    <cellStyle name="Currency" xfId="51"/>
    <cellStyle name="Currency [0]" xfId="52"/>
    <cellStyle name="Normal" xfId="53"/>
    <cellStyle name="Percent" xfId="54"/>
    <cellStyle name="Обычный 2" xfId="55"/>
    <cellStyle name="Обычный 2 2" xfId="56"/>
    <cellStyle name="Обычный 2 2 2" xfId="57"/>
    <cellStyle name="Обычный 2 3" xfId="58"/>
    <cellStyle name="Обычный 3" xfId="59"/>
    <cellStyle name="Обычный 3 2" xfId="60"/>
    <cellStyle name="Обычный 3 2 2" xfId="61"/>
    <cellStyle name="Обычный 3 3" xfId="62"/>
    <cellStyle name="Обычный 4" xfId="63"/>
    <cellStyle name="Обычный 5" xfId="64"/>
    <cellStyle name="Обычный 5 2" xfId="65"/>
    <cellStyle name="Обычный 6" xfId="66"/>
    <cellStyle name="Обычный 7" xfId="67"/>
    <cellStyle name="Обычный 8" xfId="6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A1:L17"/>
  <sheetViews>
    <sheetView workbookViewId="0">
      <selection activeCell="A4" sqref="A4:K4"/>
    </sheetView>
  </sheetViews>
  <sheetFormatPr defaultColWidth="9" defaultRowHeight="13.2"/>
  <cols>
    <col min="1" max="1" width="9.13888888888889" style="38"/>
    <col min="2" max="2" width="10.1388888888889" style="38" customWidth="1"/>
    <col min="3" max="11" width="9.13888888888889" style="38"/>
    <col min="12" max="12" width="11.1388888888889" style="38" customWidth="1"/>
    <col min="13" max="16384" width="9.13888888888889" style="38"/>
  </cols>
  <sheetData>
    <row r="1" ht="16.15" customHeight="1" spans="1:8">
      <c r="A1" s="39" t="s">
        <v>0</v>
      </c>
      <c r="B1" s="40"/>
      <c r="C1" s="40"/>
      <c r="D1" s="40"/>
      <c r="E1" s="40"/>
      <c r="F1" s="40"/>
      <c r="G1" s="40"/>
      <c r="H1" s="40"/>
    </row>
    <row r="2" ht="15.6" customHeight="1" spans="1:8">
      <c r="A2" s="40"/>
      <c r="B2" s="40"/>
      <c r="C2" s="40"/>
      <c r="D2" s="40"/>
      <c r="E2" s="40"/>
      <c r="F2" s="40"/>
      <c r="G2" s="40"/>
      <c r="H2" s="40"/>
    </row>
    <row r="3" ht="16.15" customHeight="1" spans="1:11">
      <c r="A3" s="41" t="s">
        <v>1</v>
      </c>
      <c r="B3" s="41"/>
      <c r="C3" s="41"/>
      <c r="D3" s="41"/>
      <c r="E3" s="41"/>
      <c r="F3" s="41"/>
      <c r="G3" s="41"/>
      <c r="H3" s="41"/>
      <c r="I3" s="41"/>
      <c r="J3" s="41"/>
      <c r="K3" s="41"/>
    </row>
    <row r="4" ht="15.6" customHeight="1" spans="1:11">
      <c r="A4" s="42" t="s">
        <v>2</v>
      </c>
      <c r="B4" s="43"/>
      <c r="C4" s="43"/>
      <c r="D4" s="43"/>
      <c r="E4" s="43"/>
      <c r="F4" s="43"/>
      <c r="G4" s="43"/>
      <c r="H4" s="43"/>
      <c r="I4" s="43"/>
      <c r="J4" s="43"/>
      <c r="K4" s="43"/>
    </row>
    <row r="5" ht="15.6" customHeight="1" spans="1:12">
      <c r="A5" s="44" t="s">
        <v>3</v>
      </c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</row>
    <row r="6" ht="15.6" customHeight="1" spans="1:12">
      <c r="A6" s="44" t="s">
        <v>4</v>
      </c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</row>
    <row r="7" ht="15.6" customHeight="1" spans="1:10">
      <c r="A7" s="44" t="s">
        <v>5</v>
      </c>
      <c r="B7" s="44"/>
      <c r="C7" s="44"/>
      <c r="D7" s="44"/>
      <c r="E7" s="44"/>
      <c r="F7" s="44"/>
      <c r="G7" s="44"/>
      <c r="H7" s="44"/>
      <c r="I7" s="44"/>
      <c r="J7" s="44"/>
    </row>
    <row r="8" ht="15.6" customHeight="1"/>
    <row r="9" ht="15.6" customHeight="1"/>
    <row r="10" ht="15.6" customHeight="1"/>
    <row r="11" ht="15.6" customHeight="1" spans="1:8">
      <c r="A11" s="45" t="s">
        <v>6</v>
      </c>
      <c r="B11" s="40"/>
      <c r="C11" s="40"/>
      <c r="D11" s="40"/>
      <c r="E11" s="40"/>
      <c r="F11" s="40"/>
      <c r="G11" s="40"/>
      <c r="H11" s="40"/>
    </row>
    <row r="12" ht="15.6" spans="1:8">
      <c r="A12" s="46" t="s">
        <v>7</v>
      </c>
      <c r="B12" s="46"/>
      <c r="C12" s="46"/>
      <c r="D12" s="46"/>
      <c r="E12" s="40"/>
      <c r="F12" s="40"/>
      <c r="G12" s="40"/>
      <c r="H12" s="40"/>
    </row>
    <row r="13" ht="15.6" spans="1:8">
      <c r="A13" s="46" t="s">
        <v>8</v>
      </c>
      <c r="B13" s="46"/>
      <c r="C13" s="46"/>
      <c r="D13" s="46"/>
      <c r="E13" s="40"/>
      <c r="F13" s="40"/>
      <c r="G13" s="40"/>
      <c r="H13" s="40"/>
    </row>
    <row r="16" ht="15.75" customHeight="1" spans="1:8">
      <c r="A16" s="45" t="s">
        <v>9</v>
      </c>
      <c r="B16" s="40"/>
      <c r="C16" s="40"/>
      <c r="D16" s="40"/>
      <c r="E16" s="40"/>
      <c r="F16" s="40"/>
      <c r="G16" s="40"/>
      <c r="H16" s="40"/>
    </row>
    <row r="17" ht="15.6" spans="1:2">
      <c r="A17" s="47" t="s">
        <v>10</v>
      </c>
      <c r="B17" s="47"/>
    </row>
  </sheetData>
  <mergeCells count="8">
    <mergeCell ref="A3:K3"/>
    <mergeCell ref="A4:K4"/>
    <mergeCell ref="A5:L5"/>
    <mergeCell ref="A6:L6"/>
    <mergeCell ref="A7:J7"/>
    <mergeCell ref="A12:D12"/>
    <mergeCell ref="A13:D13"/>
    <mergeCell ref="A17:B17"/>
  </mergeCells>
  <hyperlinks>
    <hyperlink ref="A4" location="'к предыдущему месяцу'!A1" display="1.1 Индексы потребительских цен на товары и услуги по Российской Федерации в 1991-2026 гг."/>
    <hyperlink ref="A5" location="Февраль!A1" display="1.2 Индексы потребительских цен на продовольственные товары по Российской Федерации в 1991-2026 гг."/>
    <hyperlink ref="A6" location="Февраль!A1" display="1.3 Индексы потребительских цен на непродовольственные товары по Российской Федерации в 1991-2026 гг."/>
    <hyperlink ref="A7" location="Февраль!A1" display="1.4 Индексы потребительских цен на услуги по Российской Федерации в 1991-2026 гг."/>
    <hyperlink ref="A7:H7" location="'04'!A1" display="1.4 Индексы потребительских цен на услуги по Российской Федерации в 1991-2026 гг."/>
    <hyperlink ref="A4:H4" location="'01'!A1" display="1.1 Индексы потребительских цен на товары и услуги по Российской Федерации в 1991-2026 гг."/>
    <hyperlink ref="A5:H5" location="'02'!A1" display="1.2 Индексы потребительских цен на продовольственные товары по Российской Федерации в 1991-2026 гг."/>
    <hyperlink ref="A6:H6" location="'03'!A1" display="1.3 Индексы потребительских цен на непродовольственные товары по Российской Федерации в 1991-2026 гг."/>
    <hyperlink ref="A4:K4" location="'01'!A1" display="1.1 Индексы потребительских цен на товары и услуги по Российской Федерации в 1991-2026 гг."/>
    <hyperlink ref="A5:L5" location="'02'!A1" display="1.2 Индексы потребительских цен на продовольственные товары по Российской Федерации в 1991-2026 гг."/>
    <hyperlink ref="A6:L6" location="'03'!A1" display="1.3 Индексы потребительских цен на непродовольственные товары по Российской Федерации в 1991-2026 гг."/>
    <hyperlink ref="A7:J7" location="'04'!A1" display="1.4 Индексы потребительских цен на услуги по Российской Федерации в 1991-2026 гг.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N35"/>
  <sheetViews>
    <sheetView tabSelected="1" zoomScale="72" zoomScaleNormal="72" topLeftCell="A2" workbookViewId="0">
      <selection activeCell="AB19" sqref="AB19"/>
    </sheetView>
  </sheetViews>
  <sheetFormatPr defaultColWidth="9.13888888888889" defaultRowHeight="14.4"/>
  <cols>
    <col min="1" max="1" width="7.85185185185185" style="2" customWidth="1"/>
    <col min="2" max="2" width="5.71296296296296" style="2" customWidth="1"/>
    <col min="3" max="3" width="7.13888888888889" style="2" customWidth="1"/>
    <col min="4" max="25" width="5.71296296296296" style="2" customWidth="1"/>
    <col min="26" max="26" width="6" style="2" customWidth="1"/>
    <col min="27" max="28" width="7.28703703703704" style="2" customWidth="1"/>
    <col min="29" max="31" width="7.13888888888889" style="2" customWidth="1"/>
    <col min="32" max="37" width="6.71296296296296" style="2" customWidth="1"/>
    <col min="38" max="39" width="9.13888888888889" style="2"/>
    <col min="40" max="40" width="12.8888888888889" style="2"/>
    <col min="41" max="16384" width="9.13888888888889" style="2"/>
  </cols>
  <sheetData>
    <row r="1" ht="21" spans="1:37">
      <c r="A1" s="3" t="s">
        <v>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ht="12.75" customHeight="1" spans="1:27">
      <c r="A2" s="4" t="s">
        <v>12</v>
      </c>
      <c r="B2" s="4"/>
      <c r="C2" s="4"/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36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20"/>
      <c r="Y3" s="20"/>
      <c r="AA3" s="20"/>
      <c r="AB3" s="20"/>
      <c r="AC3" s="20"/>
      <c r="AD3" s="20"/>
      <c r="AE3" s="20"/>
      <c r="AI3" s="20" t="s">
        <v>13</v>
      </c>
      <c r="AJ3" s="20"/>
    </row>
    <row r="4" spans="1:37">
      <c r="A4" s="8"/>
      <c r="B4" s="9">
        <v>1991</v>
      </c>
      <c r="C4" s="9">
        <v>1992</v>
      </c>
      <c r="D4" s="9">
        <v>1993</v>
      </c>
      <c r="E4" s="9">
        <v>1994</v>
      </c>
      <c r="F4" s="9">
        <v>1995</v>
      </c>
      <c r="G4" s="9">
        <v>1996</v>
      </c>
      <c r="H4" s="9">
        <v>1997</v>
      </c>
      <c r="I4" s="9">
        <v>1998</v>
      </c>
      <c r="J4" s="9">
        <v>1999</v>
      </c>
      <c r="K4" s="9">
        <v>2000</v>
      </c>
      <c r="L4" s="9">
        <v>2001</v>
      </c>
      <c r="M4" s="9">
        <v>2002</v>
      </c>
      <c r="N4" s="9">
        <v>2003</v>
      </c>
      <c r="O4" s="9">
        <v>2004</v>
      </c>
      <c r="P4" s="9">
        <v>2005</v>
      </c>
      <c r="Q4" s="9">
        <v>2006</v>
      </c>
      <c r="R4" s="9">
        <v>2007</v>
      </c>
      <c r="S4" s="9">
        <v>2008</v>
      </c>
      <c r="T4" s="9">
        <v>2009</v>
      </c>
      <c r="U4" s="9">
        <v>2010</v>
      </c>
      <c r="V4" s="9">
        <v>2011</v>
      </c>
      <c r="W4" s="9">
        <v>2012</v>
      </c>
      <c r="X4" s="32">
        <v>2013</v>
      </c>
      <c r="Y4" s="32">
        <v>2014</v>
      </c>
      <c r="Z4" s="9">
        <v>2015</v>
      </c>
      <c r="AA4" s="9">
        <v>2016</v>
      </c>
      <c r="AB4" s="9">
        <v>2017</v>
      </c>
      <c r="AC4" s="9">
        <v>2018</v>
      </c>
      <c r="AD4" s="9">
        <v>2019</v>
      </c>
      <c r="AE4" s="9">
        <v>2020</v>
      </c>
      <c r="AF4" s="9">
        <v>2021</v>
      </c>
      <c r="AG4" s="9">
        <v>2022</v>
      </c>
      <c r="AH4" s="9">
        <v>2023</v>
      </c>
      <c r="AI4" s="9">
        <v>2024</v>
      </c>
      <c r="AJ4" s="9">
        <v>2025</v>
      </c>
      <c r="AK4" s="9">
        <v>2026</v>
      </c>
    </row>
    <row r="5" ht="15" customHeight="1" spans="1:37">
      <c r="A5" s="26" t="s">
        <v>14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</row>
    <row r="6" spans="1:40">
      <c r="A6" s="12" t="s">
        <v>15</v>
      </c>
      <c r="B6" s="13">
        <v>106.2</v>
      </c>
      <c r="C6" s="13">
        <v>345.3</v>
      </c>
      <c r="D6" s="13">
        <v>125.8</v>
      </c>
      <c r="E6" s="13">
        <v>117.9</v>
      </c>
      <c r="F6" s="13">
        <v>117.77</v>
      </c>
      <c r="G6" s="13">
        <v>104.11</v>
      </c>
      <c r="H6" s="13">
        <v>102.34</v>
      </c>
      <c r="I6" s="13">
        <v>101.51</v>
      </c>
      <c r="J6" s="13">
        <v>108.38</v>
      </c>
      <c r="K6" s="13">
        <v>102.33</v>
      </c>
      <c r="L6" s="13">
        <v>102.76</v>
      </c>
      <c r="M6" s="13">
        <v>103.09</v>
      </c>
      <c r="N6" s="13">
        <v>102.4</v>
      </c>
      <c r="O6" s="13">
        <v>101.75</v>
      </c>
      <c r="P6" s="13">
        <v>102.62</v>
      </c>
      <c r="Q6" s="13">
        <v>102.43</v>
      </c>
      <c r="R6" s="13">
        <v>101.68</v>
      </c>
      <c r="S6" s="13">
        <v>102.31</v>
      </c>
      <c r="T6" s="13">
        <v>102.37</v>
      </c>
      <c r="U6" s="13">
        <v>101.64</v>
      </c>
      <c r="V6" s="13">
        <v>102.37</v>
      </c>
      <c r="W6" s="13">
        <v>100.5</v>
      </c>
      <c r="X6" s="13">
        <v>100.97</v>
      </c>
      <c r="Y6" s="13">
        <v>100.59</v>
      </c>
      <c r="Z6" s="13">
        <v>103.85</v>
      </c>
      <c r="AA6" s="13">
        <v>100.96</v>
      </c>
      <c r="AB6" s="21">
        <v>100.62</v>
      </c>
      <c r="AC6" s="13">
        <v>100.31</v>
      </c>
      <c r="AD6" s="33">
        <v>101.01</v>
      </c>
      <c r="AE6" s="13">
        <v>100.4</v>
      </c>
      <c r="AF6" s="33">
        <v>100.67</v>
      </c>
      <c r="AG6" s="22">
        <v>100.99</v>
      </c>
      <c r="AH6" s="33">
        <v>100.84</v>
      </c>
      <c r="AI6" s="22">
        <v>100.86</v>
      </c>
      <c r="AJ6" s="22">
        <v>101.23</v>
      </c>
      <c r="AK6" s="22">
        <v>101.62</v>
      </c>
      <c r="AL6" s="2">
        <f>AH6/100</f>
        <v>1.0084</v>
      </c>
      <c r="AN6" s="2">
        <f>AL6</f>
        <v>1.0084</v>
      </c>
    </row>
    <row r="7" spans="1:40">
      <c r="A7" s="12" t="s">
        <v>16</v>
      </c>
      <c r="B7" s="13">
        <v>104.8</v>
      </c>
      <c r="C7" s="13">
        <v>138</v>
      </c>
      <c r="D7" s="13">
        <v>124.7</v>
      </c>
      <c r="E7" s="13">
        <v>110.82</v>
      </c>
      <c r="F7" s="13">
        <v>111.02</v>
      </c>
      <c r="G7" s="13">
        <v>102.79</v>
      </c>
      <c r="H7" s="13">
        <v>101.54</v>
      </c>
      <c r="I7" s="13">
        <v>100.89</v>
      </c>
      <c r="J7" s="13">
        <v>104.13</v>
      </c>
      <c r="K7" s="13">
        <v>101.04</v>
      </c>
      <c r="L7" s="13">
        <v>102.28</v>
      </c>
      <c r="M7" s="13">
        <v>101.16</v>
      </c>
      <c r="N7" s="13">
        <v>101.63</v>
      </c>
      <c r="O7" s="13">
        <v>100.99</v>
      </c>
      <c r="P7" s="13">
        <v>101.23</v>
      </c>
      <c r="Q7" s="13">
        <v>101.66</v>
      </c>
      <c r="R7" s="13">
        <v>101.11</v>
      </c>
      <c r="S7" s="13">
        <v>101.2</v>
      </c>
      <c r="T7" s="13">
        <v>101.65</v>
      </c>
      <c r="U7" s="13">
        <v>100.86</v>
      </c>
      <c r="V7" s="13">
        <v>100.78</v>
      </c>
      <c r="W7" s="13">
        <v>100.37</v>
      </c>
      <c r="X7" s="13">
        <v>100.56</v>
      </c>
      <c r="Y7" s="13">
        <v>100.7</v>
      </c>
      <c r="Z7" s="13">
        <v>102.22</v>
      </c>
      <c r="AA7" s="13">
        <v>100.63</v>
      </c>
      <c r="AB7" s="21">
        <v>100.22</v>
      </c>
      <c r="AC7" s="13">
        <v>100.21</v>
      </c>
      <c r="AD7" s="33">
        <v>100.44</v>
      </c>
      <c r="AE7" s="22">
        <v>100.33</v>
      </c>
      <c r="AF7" s="33">
        <v>100.78</v>
      </c>
      <c r="AG7" s="22">
        <v>101.17</v>
      </c>
      <c r="AH7" s="33">
        <v>100.46</v>
      </c>
      <c r="AI7" s="22">
        <v>100.68</v>
      </c>
      <c r="AJ7" s="22">
        <v>100.81</v>
      </c>
      <c r="AK7" s="22">
        <v>100.73</v>
      </c>
      <c r="AL7" s="2">
        <f t="shared" ref="AL7:AL17" si="0">AH7/100</f>
        <v>1.0046</v>
      </c>
      <c r="AN7" s="2">
        <f>AL7*AN6</f>
        <v>1.01303864</v>
      </c>
    </row>
    <row r="8" spans="1:40">
      <c r="A8" s="12" t="s">
        <v>17</v>
      </c>
      <c r="B8" s="13">
        <v>106.3</v>
      </c>
      <c r="C8" s="13">
        <v>129.9</v>
      </c>
      <c r="D8" s="13">
        <v>120.1</v>
      </c>
      <c r="E8" s="13">
        <v>107.41</v>
      </c>
      <c r="F8" s="13">
        <v>108.94</v>
      </c>
      <c r="G8" s="13">
        <v>102.8</v>
      </c>
      <c r="H8" s="13">
        <v>101.43</v>
      </c>
      <c r="I8" s="13">
        <v>100.64</v>
      </c>
      <c r="J8" s="13">
        <v>102.79</v>
      </c>
      <c r="K8" s="13">
        <v>100.64</v>
      </c>
      <c r="L8" s="13">
        <v>101.86</v>
      </c>
      <c r="M8" s="13">
        <v>101.08</v>
      </c>
      <c r="N8" s="13">
        <v>101.05</v>
      </c>
      <c r="O8" s="13">
        <v>100.75</v>
      </c>
      <c r="P8" s="13">
        <v>101.34</v>
      </c>
      <c r="Q8" s="13">
        <v>100.82</v>
      </c>
      <c r="R8" s="13">
        <v>100.59</v>
      </c>
      <c r="S8" s="13">
        <v>101.2</v>
      </c>
      <c r="T8" s="13">
        <v>101.31</v>
      </c>
      <c r="U8" s="13">
        <v>100.63</v>
      </c>
      <c r="V8" s="13">
        <v>100.62</v>
      </c>
      <c r="W8" s="13">
        <v>100.58</v>
      </c>
      <c r="X8" s="13">
        <v>100.34</v>
      </c>
      <c r="Y8" s="13">
        <v>101.02</v>
      </c>
      <c r="Z8" s="13">
        <v>101.21</v>
      </c>
      <c r="AA8" s="13">
        <v>100.46</v>
      </c>
      <c r="AB8" s="21">
        <v>100.13</v>
      </c>
      <c r="AC8" s="13">
        <v>100.29</v>
      </c>
      <c r="AD8" s="33">
        <v>100.32</v>
      </c>
      <c r="AE8" s="22">
        <v>100.55</v>
      </c>
      <c r="AF8" s="33">
        <v>100.66</v>
      </c>
      <c r="AG8" s="22">
        <v>107.61</v>
      </c>
      <c r="AH8" s="33">
        <v>100.37</v>
      </c>
      <c r="AI8" s="22">
        <v>100.39</v>
      </c>
      <c r="AJ8" s="22">
        <v>100.65</v>
      </c>
      <c r="AK8" s="13">
        <v>100.6</v>
      </c>
      <c r="AL8" s="2">
        <f t="shared" si="0"/>
        <v>1.0037</v>
      </c>
      <c r="AN8" s="2">
        <f t="shared" ref="AN8:AN17" si="1">AL8*AN7</f>
        <v>1.016786882968</v>
      </c>
    </row>
    <row r="9" spans="1:40">
      <c r="A9" s="12" t="s">
        <v>18</v>
      </c>
      <c r="B9" s="13">
        <v>163.5</v>
      </c>
      <c r="C9" s="13">
        <v>121.7</v>
      </c>
      <c r="D9" s="13">
        <v>118.7</v>
      </c>
      <c r="E9" s="13">
        <v>108.49</v>
      </c>
      <c r="F9" s="13">
        <v>108.47</v>
      </c>
      <c r="G9" s="13">
        <v>102.16</v>
      </c>
      <c r="H9" s="13">
        <v>100.96</v>
      </c>
      <c r="I9" s="13">
        <v>100.38</v>
      </c>
      <c r="J9" s="13">
        <v>103.03</v>
      </c>
      <c r="K9" s="13">
        <v>100.89</v>
      </c>
      <c r="L9" s="13">
        <v>101.79</v>
      </c>
      <c r="M9" s="13">
        <v>101.16</v>
      </c>
      <c r="N9" s="13">
        <v>101.02</v>
      </c>
      <c r="O9" s="13">
        <v>100.99</v>
      </c>
      <c r="P9" s="13">
        <v>101.12</v>
      </c>
      <c r="Q9" s="13">
        <v>100.35</v>
      </c>
      <c r="R9" s="13">
        <v>100.57</v>
      </c>
      <c r="S9" s="13">
        <v>101.42</v>
      </c>
      <c r="T9" s="13">
        <v>100.69</v>
      </c>
      <c r="U9" s="13">
        <v>100.29</v>
      </c>
      <c r="V9" s="13">
        <v>100.43</v>
      </c>
      <c r="W9" s="13">
        <v>100.31</v>
      </c>
      <c r="X9" s="13">
        <v>100.51</v>
      </c>
      <c r="Y9" s="13">
        <v>100.9</v>
      </c>
      <c r="Z9" s="13">
        <v>100.46</v>
      </c>
      <c r="AA9" s="13">
        <v>100.44</v>
      </c>
      <c r="AB9" s="21">
        <v>100.33</v>
      </c>
      <c r="AC9" s="13">
        <v>100.38</v>
      </c>
      <c r="AD9" s="33">
        <v>100.29</v>
      </c>
      <c r="AE9" s="22">
        <v>100.83</v>
      </c>
      <c r="AF9" s="33">
        <v>100.58</v>
      </c>
      <c r="AG9" s="22">
        <v>101.56</v>
      </c>
      <c r="AH9" s="33">
        <v>100.38</v>
      </c>
      <c r="AI9" s="13">
        <v>100.5</v>
      </c>
      <c r="AJ9" s="13">
        <v>100.4</v>
      </c>
      <c r="AK9" s="22"/>
      <c r="AL9" s="2">
        <f t="shared" si="0"/>
        <v>1.0038</v>
      </c>
      <c r="AN9" s="2">
        <f t="shared" si="1"/>
        <v>1.02065067312328</v>
      </c>
    </row>
    <row r="10" spans="1:40">
      <c r="A10" s="12" t="s">
        <v>19</v>
      </c>
      <c r="B10" s="13">
        <v>103</v>
      </c>
      <c r="C10" s="13">
        <v>111.9</v>
      </c>
      <c r="D10" s="13">
        <v>118.1</v>
      </c>
      <c r="E10" s="13">
        <v>106.91</v>
      </c>
      <c r="F10" s="13">
        <v>107.93</v>
      </c>
      <c r="G10" s="13">
        <v>101.6</v>
      </c>
      <c r="H10" s="13">
        <v>100.94</v>
      </c>
      <c r="I10" s="13">
        <v>100.5</v>
      </c>
      <c r="J10" s="13">
        <v>102.22</v>
      </c>
      <c r="K10" s="13">
        <v>101.75</v>
      </c>
      <c r="L10" s="13">
        <v>101.78</v>
      </c>
      <c r="M10" s="13">
        <v>101.69</v>
      </c>
      <c r="N10" s="13">
        <v>100.8</v>
      </c>
      <c r="O10" s="13">
        <v>100.74</v>
      </c>
      <c r="P10" s="13">
        <v>100.8</v>
      </c>
      <c r="Q10" s="13">
        <v>100.48</v>
      </c>
      <c r="R10" s="13">
        <v>100.63</v>
      </c>
      <c r="S10" s="13">
        <v>101.35</v>
      </c>
      <c r="T10" s="13">
        <v>100.57</v>
      </c>
      <c r="U10" s="13">
        <v>100.5</v>
      </c>
      <c r="V10" s="13">
        <v>100.48</v>
      </c>
      <c r="W10" s="13">
        <v>100.52</v>
      </c>
      <c r="X10" s="13">
        <v>100.66</v>
      </c>
      <c r="Y10" s="13">
        <v>100.9</v>
      </c>
      <c r="Z10" s="13">
        <v>100.35</v>
      </c>
      <c r="AA10" s="13">
        <v>100.41</v>
      </c>
      <c r="AB10" s="21">
        <v>100.37</v>
      </c>
      <c r="AC10" s="13">
        <v>100.38</v>
      </c>
      <c r="AD10" s="33">
        <v>100.34</v>
      </c>
      <c r="AE10" s="22">
        <v>100.27</v>
      </c>
      <c r="AF10" s="33">
        <v>100.74</v>
      </c>
      <c r="AG10" s="22">
        <v>100.12</v>
      </c>
      <c r="AH10" s="33">
        <v>100.31</v>
      </c>
      <c r="AI10" s="22">
        <v>100.74</v>
      </c>
      <c r="AJ10" s="13">
        <v>100.43</v>
      </c>
      <c r="AK10" s="22"/>
      <c r="AL10" s="2">
        <f t="shared" si="0"/>
        <v>1.0031</v>
      </c>
      <c r="AN10" s="2">
        <f t="shared" si="1"/>
        <v>1.02381469020996</v>
      </c>
    </row>
    <row r="11" spans="1:40">
      <c r="A11" s="12" t="s">
        <v>20</v>
      </c>
      <c r="B11" s="13">
        <v>101.2</v>
      </c>
      <c r="C11" s="13">
        <v>119.1</v>
      </c>
      <c r="D11" s="13">
        <v>119.9</v>
      </c>
      <c r="E11" s="13">
        <v>106</v>
      </c>
      <c r="F11" s="13">
        <v>106.66</v>
      </c>
      <c r="G11" s="13">
        <v>101.17</v>
      </c>
      <c r="H11" s="13">
        <v>101.1</v>
      </c>
      <c r="I11" s="13">
        <v>100.08</v>
      </c>
      <c r="J11" s="13">
        <v>101.91</v>
      </c>
      <c r="K11" s="13">
        <v>102.55</v>
      </c>
      <c r="L11" s="13">
        <v>101.62</v>
      </c>
      <c r="M11" s="13">
        <v>100.53</v>
      </c>
      <c r="N11" s="13">
        <v>100.8</v>
      </c>
      <c r="O11" s="13">
        <v>100.78</v>
      </c>
      <c r="P11" s="13">
        <v>100.64</v>
      </c>
      <c r="Q11" s="13">
        <v>100.28</v>
      </c>
      <c r="R11" s="13">
        <v>100.95</v>
      </c>
      <c r="S11" s="13">
        <v>100.97</v>
      </c>
      <c r="T11" s="13">
        <v>100.6</v>
      </c>
      <c r="U11" s="13">
        <v>100.39</v>
      </c>
      <c r="V11" s="13">
        <v>100.23</v>
      </c>
      <c r="W11" s="13">
        <v>100.89</v>
      </c>
      <c r="X11" s="13">
        <v>100.42</v>
      </c>
      <c r="Y11" s="13">
        <v>100.62</v>
      </c>
      <c r="Z11" s="13">
        <v>100.19</v>
      </c>
      <c r="AA11" s="13">
        <v>100.36</v>
      </c>
      <c r="AB11" s="21">
        <v>100.61</v>
      </c>
      <c r="AC11" s="13">
        <v>100.49</v>
      </c>
      <c r="AD11" s="21">
        <v>100.04</v>
      </c>
      <c r="AE11" s="22">
        <v>100.22</v>
      </c>
      <c r="AF11" s="33">
        <v>100.69</v>
      </c>
      <c r="AG11" s="22">
        <v>99.65</v>
      </c>
      <c r="AH11" s="33">
        <v>100.37</v>
      </c>
      <c r="AI11" s="22">
        <v>100.64</v>
      </c>
      <c r="AJ11" s="13">
        <v>100.2</v>
      </c>
      <c r="AK11" s="22"/>
      <c r="AL11" s="2">
        <f t="shared" si="0"/>
        <v>1.0037</v>
      </c>
      <c r="AN11" s="2">
        <f t="shared" si="1"/>
        <v>1.02760280456374</v>
      </c>
    </row>
    <row r="12" spans="1:40">
      <c r="A12" s="12" t="s">
        <v>21</v>
      </c>
      <c r="B12" s="13">
        <v>100.6</v>
      </c>
      <c r="C12" s="13">
        <v>110.6</v>
      </c>
      <c r="D12" s="13">
        <v>122.39</v>
      </c>
      <c r="E12" s="13">
        <v>105.33</v>
      </c>
      <c r="F12" s="13">
        <v>105.38</v>
      </c>
      <c r="G12" s="13">
        <v>100.72</v>
      </c>
      <c r="H12" s="13">
        <v>100.93</v>
      </c>
      <c r="I12" s="13">
        <v>100.17</v>
      </c>
      <c r="J12" s="13">
        <v>102.82</v>
      </c>
      <c r="K12" s="13">
        <v>101.79</v>
      </c>
      <c r="L12" s="13">
        <v>100.45</v>
      </c>
      <c r="M12" s="13">
        <v>100.72</v>
      </c>
      <c r="N12" s="13">
        <v>100.71</v>
      </c>
      <c r="O12" s="13">
        <v>100.92</v>
      </c>
      <c r="P12" s="13">
        <v>100.46</v>
      </c>
      <c r="Q12" s="13">
        <v>100.67</v>
      </c>
      <c r="R12" s="13">
        <v>100.87</v>
      </c>
      <c r="S12" s="13">
        <v>100.51</v>
      </c>
      <c r="T12" s="13">
        <v>100.63</v>
      </c>
      <c r="U12" s="13">
        <v>100.36</v>
      </c>
      <c r="V12" s="13">
        <v>99.99</v>
      </c>
      <c r="W12" s="13">
        <v>101.23</v>
      </c>
      <c r="X12" s="13">
        <v>100.82</v>
      </c>
      <c r="Y12" s="13">
        <v>100.49</v>
      </c>
      <c r="Z12" s="13">
        <v>100.8</v>
      </c>
      <c r="AA12" s="13">
        <v>100.54</v>
      </c>
      <c r="AB12" s="21">
        <v>100.07</v>
      </c>
      <c r="AC12" s="13">
        <v>100.27</v>
      </c>
      <c r="AD12" s="21">
        <v>100.2</v>
      </c>
      <c r="AE12" s="22">
        <v>100.35</v>
      </c>
      <c r="AF12" s="33">
        <v>100.31</v>
      </c>
      <c r="AG12" s="22">
        <v>99.61</v>
      </c>
      <c r="AH12" s="33">
        <v>100.63</v>
      </c>
      <c r="AI12" s="22">
        <v>101.14</v>
      </c>
      <c r="AJ12" s="22">
        <v>100.57</v>
      </c>
      <c r="AK12" s="22"/>
      <c r="AL12" s="2">
        <f t="shared" si="0"/>
        <v>1.0063</v>
      </c>
      <c r="AN12" s="2">
        <f t="shared" si="1"/>
        <v>1.03407670223249</v>
      </c>
    </row>
    <row r="13" spans="1:40">
      <c r="A13" s="12" t="s">
        <v>22</v>
      </c>
      <c r="B13" s="13">
        <v>100.5</v>
      </c>
      <c r="C13" s="13">
        <v>108.6</v>
      </c>
      <c r="D13" s="13">
        <v>126</v>
      </c>
      <c r="E13" s="13">
        <v>104.62</v>
      </c>
      <c r="F13" s="13">
        <v>104.56</v>
      </c>
      <c r="G13" s="13">
        <v>99.79</v>
      </c>
      <c r="H13" s="13">
        <v>99.86</v>
      </c>
      <c r="I13" s="13">
        <v>103.67</v>
      </c>
      <c r="J13" s="13">
        <v>101.16</v>
      </c>
      <c r="K13" s="13">
        <v>100.98</v>
      </c>
      <c r="L13" s="13">
        <v>100.01</v>
      </c>
      <c r="M13" s="13">
        <v>100.09</v>
      </c>
      <c r="N13" s="13">
        <v>99.59</v>
      </c>
      <c r="O13" s="13">
        <v>100.42</v>
      </c>
      <c r="P13" s="13">
        <v>99.86</v>
      </c>
      <c r="Q13" s="13">
        <v>100.19</v>
      </c>
      <c r="R13" s="13">
        <v>100.09</v>
      </c>
      <c r="S13" s="13">
        <v>100.36</v>
      </c>
      <c r="T13" s="13">
        <v>100</v>
      </c>
      <c r="U13" s="13">
        <v>100.55</v>
      </c>
      <c r="V13" s="13">
        <v>99.76</v>
      </c>
      <c r="W13" s="13">
        <v>100.1</v>
      </c>
      <c r="X13" s="13">
        <v>100.14</v>
      </c>
      <c r="Y13" s="13">
        <v>100.24</v>
      </c>
      <c r="Z13" s="13">
        <v>100.35</v>
      </c>
      <c r="AA13" s="13">
        <v>100.01</v>
      </c>
      <c r="AB13" s="21">
        <v>99.46</v>
      </c>
      <c r="AC13" s="13">
        <v>100.01</v>
      </c>
      <c r="AD13" s="33">
        <v>99.76</v>
      </c>
      <c r="AE13" s="22">
        <v>99.96</v>
      </c>
      <c r="AF13" s="33">
        <v>100.17</v>
      </c>
      <c r="AG13" s="22">
        <v>99.48</v>
      </c>
      <c r="AH13" s="33">
        <v>100.28</v>
      </c>
      <c r="AI13" s="13">
        <v>100.2</v>
      </c>
      <c r="AJ13" s="13">
        <v>99.6</v>
      </c>
      <c r="AK13" s="22"/>
      <c r="AL13" s="2">
        <f t="shared" si="0"/>
        <v>1.0028</v>
      </c>
      <c r="AN13" s="2">
        <f t="shared" si="1"/>
        <v>1.03697211699874</v>
      </c>
    </row>
    <row r="14" spans="1:40">
      <c r="A14" s="12" t="s">
        <v>23</v>
      </c>
      <c r="B14" s="13">
        <v>101.1</v>
      </c>
      <c r="C14" s="13">
        <v>111.5</v>
      </c>
      <c r="D14" s="13">
        <v>123</v>
      </c>
      <c r="E14" s="13">
        <v>107.96</v>
      </c>
      <c r="F14" s="13">
        <v>104.46</v>
      </c>
      <c r="G14" s="13">
        <v>100.33</v>
      </c>
      <c r="H14" s="13">
        <v>99.7</v>
      </c>
      <c r="I14" s="13">
        <v>138.43</v>
      </c>
      <c r="J14" s="13">
        <v>101.48</v>
      </c>
      <c r="K14" s="13">
        <v>101.32</v>
      </c>
      <c r="L14" s="13">
        <v>100.6</v>
      </c>
      <c r="M14" s="13">
        <v>100.4</v>
      </c>
      <c r="N14" s="13">
        <v>100.34</v>
      </c>
      <c r="O14" s="13">
        <v>100.43</v>
      </c>
      <c r="P14" s="13">
        <v>100.25</v>
      </c>
      <c r="Q14" s="13">
        <v>100.09</v>
      </c>
      <c r="R14" s="13">
        <v>100.79</v>
      </c>
      <c r="S14" s="13">
        <v>100.8</v>
      </c>
      <c r="T14" s="13">
        <v>99.97</v>
      </c>
      <c r="U14" s="13">
        <v>100.84</v>
      </c>
      <c r="V14" s="13">
        <v>99.96</v>
      </c>
      <c r="W14" s="13">
        <v>100.55</v>
      </c>
      <c r="X14" s="13">
        <v>100.21</v>
      </c>
      <c r="Y14" s="13">
        <v>100.65</v>
      </c>
      <c r="Z14" s="13">
        <v>100.57</v>
      </c>
      <c r="AA14" s="13">
        <v>100.17</v>
      </c>
      <c r="AB14" s="21">
        <v>99.85</v>
      </c>
      <c r="AC14" s="13">
        <v>100.16</v>
      </c>
      <c r="AD14" s="33">
        <v>99.84</v>
      </c>
      <c r="AE14" s="22">
        <v>99.93</v>
      </c>
      <c r="AF14" s="21">
        <v>100.6</v>
      </c>
      <c r="AG14" s="22">
        <v>100.05</v>
      </c>
      <c r="AH14" s="33">
        <v>100.87</v>
      </c>
      <c r="AI14" s="22">
        <v>100.48</v>
      </c>
      <c r="AJ14" s="22">
        <v>100.34</v>
      </c>
      <c r="AK14" s="22"/>
      <c r="AL14" s="2">
        <f t="shared" si="0"/>
        <v>1.0087</v>
      </c>
      <c r="AN14" s="2">
        <f t="shared" si="1"/>
        <v>1.04599377441663</v>
      </c>
    </row>
    <row r="15" spans="1:40">
      <c r="A15" s="12" t="s">
        <v>24</v>
      </c>
      <c r="B15" s="13">
        <v>103.5</v>
      </c>
      <c r="C15" s="13">
        <v>122.9</v>
      </c>
      <c r="D15" s="13">
        <v>119.5</v>
      </c>
      <c r="E15" s="13">
        <v>115</v>
      </c>
      <c r="F15" s="13">
        <v>104.72</v>
      </c>
      <c r="G15" s="13">
        <v>101.2</v>
      </c>
      <c r="H15" s="13">
        <v>100.17</v>
      </c>
      <c r="I15" s="13">
        <v>104.54</v>
      </c>
      <c r="J15" s="13">
        <v>101.37</v>
      </c>
      <c r="K15" s="13">
        <v>102.11</v>
      </c>
      <c r="L15" s="13">
        <v>101.09</v>
      </c>
      <c r="M15" s="13">
        <v>101.07</v>
      </c>
      <c r="N15" s="13">
        <v>101</v>
      </c>
      <c r="O15" s="13">
        <v>101.14</v>
      </c>
      <c r="P15" s="13">
        <v>100.55</v>
      </c>
      <c r="Q15" s="13">
        <v>100.28</v>
      </c>
      <c r="R15" s="13">
        <v>101.64</v>
      </c>
      <c r="S15" s="13">
        <v>100.91</v>
      </c>
      <c r="T15" s="13">
        <v>100</v>
      </c>
      <c r="U15" s="13">
        <v>100.5</v>
      </c>
      <c r="V15" s="13">
        <v>100.48</v>
      </c>
      <c r="W15" s="13">
        <v>100.46</v>
      </c>
      <c r="X15" s="13">
        <v>100.57</v>
      </c>
      <c r="Y15" s="13">
        <v>100.82</v>
      </c>
      <c r="Z15" s="13">
        <v>100.74</v>
      </c>
      <c r="AA15" s="13">
        <v>100.43</v>
      </c>
      <c r="AB15" s="21">
        <v>100.2</v>
      </c>
      <c r="AC15" s="13">
        <v>100.35</v>
      </c>
      <c r="AD15" s="33">
        <v>100.13</v>
      </c>
      <c r="AE15" s="22">
        <v>100.43</v>
      </c>
      <c r="AF15" s="33">
        <v>101.11</v>
      </c>
      <c r="AG15" s="22">
        <v>100.18</v>
      </c>
      <c r="AH15" s="33">
        <v>100.83</v>
      </c>
      <c r="AI15" s="22">
        <v>100.75</v>
      </c>
      <c r="AJ15" s="13">
        <v>100.5</v>
      </c>
      <c r="AK15" s="22"/>
      <c r="AL15" s="2">
        <f t="shared" si="0"/>
        <v>1.0083</v>
      </c>
      <c r="AN15" s="2">
        <f t="shared" si="1"/>
        <v>1.05467552274429</v>
      </c>
    </row>
    <row r="16" spans="1:40">
      <c r="A16" s="12" t="s">
        <v>25</v>
      </c>
      <c r="B16" s="13">
        <v>108.9</v>
      </c>
      <c r="C16" s="13">
        <v>126.1</v>
      </c>
      <c r="D16" s="13">
        <v>116.39</v>
      </c>
      <c r="E16" s="13">
        <v>114.61</v>
      </c>
      <c r="F16" s="13">
        <v>104.56</v>
      </c>
      <c r="G16" s="13">
        <v>101.88</v>
      </c>
      <c r="H16" s="13">
        <v>100.61</v>
      </c>
      <c r="I16" s="13">
        <v>105.67</v>
      </c>
      <c r="J16" s="13">
        <v>101.23</v>
      </c>
      <c r="K16" s="13">
        <v>101.52</v>
      </c>
      <c r="L16" s="13">
        <v>101.36</v>
      </c>
      <c r="M16" s="13">
        <v>101.61</v>
      </c>
      <c r="N16" s="13">
        <v>100.96</v>
      </c>
      <c r="O16" s="13">
        <v>101.11</v>
      </c>
      <c r="P16" s="13">
        <v>100.74</v>
      </c>
      <c r="Q16" s="13">
        <v>100.63</v>
      </c>
      <c r="R16" s="13">
        <v>101.23</v>
      </c>
      <c r="S16" s="13">
        <v>100.83</v>
      </c>
      <c r="T16" s="13">
        <v>100.29</v>
      </c>
      <c r="U16" s="13">
        <v>100.81</v>
      </c>
      <c r="V16" s="13">
        <v>100.42</v>
      </c>
      <c r="W16" s="13">
        <v>100.34</v>
      </c>
      <c r="X16" s="13">
        <v>100.56</v>
      </c>
      <c r="Y16" s="13">
        <v>101.28</v>
      </c>
      <c r="Z16" s="13">
        <v>100.75</v>
      </c>
      <c r="AA16" s="13">
        <v>100.44</v>
      </c>
      <c r="AB16" s="21">
        <v>100.22</v>
      </c>
      <c r="AC16" s="13">
        <v>100.5</v>
      </c>
      <c r="AD16" s="33">
        <v>100.28</v>
      </c>
      <c r="AE16" s="22">
        <v>100.71</v>
      </c>
      <c r="AF16" s="33">
        <v>100.96</v>
      </c>
      <c r="AG16" s="22">
        <v>100.37</v>
      </c>
      <c r="AH16" s="21">
        <v>101.11</v>
      </c>
      <c r="AI16" s="22">
        <v>101.43</v>
      </c>
      <c r="AJ16" s="22">
        <v>100.42</v>
      </c>
      <c r="AK16" s="22"/>
      <c r="AL16" s="2">
        <f t="shared" si="0"/>
        <v>1.0111</v>
      </c>
      <c r="AN16" s="2">
        <f t="shared" si="1"/>
        <v>1.06638242104675</v>
      </c>
    </row>
    <row r="17" spans="1:40">
      <c r="A17" s="12" t="s">
        <v>26</v>
      </c>
      <c r="B17" s="13">
        <v>112.1</v>
      </c>
      <c r="C17" s="13">
        <v>125.2</v>
      </c>
      <c r="D17" s="13">
        <v>112.5</v>
      </c>
      <c r="E17" s="13">
        <v>116.44</v>
      </c>
      <c r="F17" s="13">
        <v>103.2</v>
      </c>
      <c r="G17" s="13">
        <v>101.42</v>
      </c>
      <c r="H17" s="13">
        <v>100.96</v>
      </c>
      <c r="I17" s="13">
        <v>111.61</v>
      </c>
      <c r="J17" s="13">
        <v>101.26</v>
      </c>
      <c r="K17" s="13">
        <v>101.64</v>
      </c>
      <c r="L17" s="13">
        <v>101.6</v>
      </c>
      <c r="M17" s="13">
        <v>101.54</v>
      </c>
      <c r="N17" s="13">
        <v>101.1</v>
      </c>
      <c r="O17" s="13">
        <v>101.14</v>
      </c>
      <c r="P17" s="13">
        <v>100.82</v>
      </c>
      <c r="Q17" s="13">
        <v>100.79</v>
      </c>
      <c r="R17" s="13">
        <v>101.13</v>
      </c>
      <c r="S17" s="13">
        <v>100.69</v>
      </c>
      <c r="T17" s="13">
        <v>100.41</v>
      </c>
      <c r="U17" s="13">
        <v>101.08</v>
      </c>
      <c r="V17" s="13">
        <v>100.44</v>
      </c>
      <c r="W17" s="13">
        <v>100.54</v>
      </c>
      <c r="X17" s="13">
        <v>100.51</v>
      </c>
      <c r="Y17" s="13">
        <v>102.62</v>
      </c>
      <c r="Z17" s="13">
        <v>100.77</v>
      </c>
      <c r="AA17" s="13">
        <v>100.4</v>
      </c>
      <c r="AB17" s="21">
        <v>100.42</v>
      </c>
      <c r="AC17" s="13">
        <v>100.84</v>
      </c>
      <c r="AD17" s="33">
        <v>100.36</v>
      </c>
      <c r="AE17" s="22">
        <v>100.83</v>
      </c>
      <c r="AF17" s="33">
        <v>100.82</v>
      </c>
      <c r="AG17" s="22">
        <v>100.78</v>
      </c>
      <c r="AH17" s="33">
        <v>100.73</v>
      </c>
      <c r="AI17" s="22">
        <v>101.32</v>
      </c>
      <c r="AJ17" s="22">
        <v>100.32</v>
      </c>
      <c r="AK17" s="22"/>
      <c r="AL17" s="2">
        <f t="shared" si="0"/>
        <v>1.0073</v>
      </c>
      <c r="AN17" s="2">
        <f t="shared" si="1"/>
        <v>1.07416701272039</v>
      </c>
    </row>
    <row r="18" spans="1:37">
      <c r="A18" s="27" t="s">
        <v>27</v>
      </c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</row>
    <row r="19" spans="1:37">
      <c r="A19" s="28" t="s">
        <v>26</v>
      </c>
      <c r="B19" s="29">
        <v>260.4</v>
      </c>
      <c r="C19" s="29">
        <v>2608.84</v>
      </c>
      <c r="D19" s="29">
        <v>939.9</v>
      </c>
      <c r="E19" s="29">
        <v>315.14</v>
      </c>
      <c r="F19" s="29">
        <v>231.3</v>
      </c>
      <c r="G19" s="29">
        <v>121.81</v>
      </c>
      <c r="H19" s="29">
        <v>111.03</v>
      </c>
      <c r="I19" s="29">
        <v>184.43</v>
      </c>
      <c r="J19" s="29">
        <v>136.53</v>
      </c>
      <c r="K19" s="29">
        <v>120.18</v>
      </c>
      <c r="L19" s="29">
        <v>118.58</v>
      </c>
      <c r="M19" s="29">
        <v>115.06</v>
      </c>
      <c r="N19" s="29">
        <v>111.99</v>
      </c>
      <c r="O19" s="29">
        <v>111.73</v>
      </c>
      <c r="P19" s="29">
        <v>110.92</v>
      </c>
      <c r="Q19" s="29">
        <v>109</v>
      </c>
      <c r="R19" s="29">
        <v>111.87</v>
      </c>
      <c r="S19" s="29">
        <v>113.28</v>
      </c>
      <c r="T19" s="29">
        <v>108.8</v>
      </c>
      <c r="U19" s="29">
        <v>108.78</v>
      </c>
      <c r="V19" s="29">
        <v>106.1</v>
      </c>
      <c r="W19" s="29">
        <v>106.57</v>
      </c>
      <c r="X19" s="29">
        <v>106.47</v>
      </c>
      <c r="Y19" s="29">
        <v>111.35</v>
      </c>
      <c r="Z19" s="29">
        <v>112.91</v>
      </c>
      <c r="AA19" s="29">
        <v>105.39</v>
      </c>
      <c r="AB19" s="29">
        <v>102.51</v>
      </c>
      <c r="AC19" s="29">
        <v>104.26</v>
      </c>
      <c r="AD19" s="34">
        <v>103.04</v>
      </c>
      <c r="AE19" s="29">
        <v>104.91</v>
      </c>
      <c r="AF19" s="29">
        <v>108.39</v>
      </c>
      <c r="AG19" s="29">
        <v>111.94</v>
      </c>
      <c r="AH19" s="29">
        <v>107.42</v>
      </c>
      <c r="AI19" s="29">
        <v>109.52</v>
      </c>
      <c r="AJ19" s="37">
        <v>105.59</v>
      </c>
      <c r="AK19" s="37" t="s">
        <v>28</v>
      </c>
    </row>
    <row r="20" ht="189.75" customHeight="1" spans="1:37">
      <c r="A20" s="30" t="s">
        <v>29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</row>
    <row r="22" ht="16.8" spans="1:1">
      <c r="A22" s="31" t="s">
        <v>30</v>
      </c>
    </row>
    <row r="23" spans="28:28">
      <c r="AB23" s="2">
        <f>1.0062</f>
        <v>1.0062</v>
      </c>
    </row>
    <row r="24" spans="28:28">
      <c r="AB24" s="35">
        <f>AB23*AB7/100</f>
        <v>1.00841364</v>
      </c>
    </row>
    <row r="25" spans="28:28">
      <c r="AB25" s="35">
        <f t="shared" ref="AB25:AB35" si="2">AB24*AB8/100</f>
        <v>1.009724577732</v>
      </c>
    </row>
    <row r="26" spans="28:28">
      <c r="AB26" s="35">
        <f t="shared" si="2"/>
        <v>1.01305666883852</v>
      </c>
    </row>
    <row r="27" spans="28:28">
      <c r="AB27" s="35">
        <f t="shared" si="2"/>
        <v>1.01680497851322</v>
      </c>
    </row>
    <row r="28" spans="28:28">
      <c r="AB28" s="35">
        <f t="shared" si="2"/>
        <v>1.02300748888215</v>
      </c>
    </row>
    <row r="29" spans="28:28">
      <c r="AB29" s="35">
        <f t="shared" si="2"/>
        <v>1.02372359412437</v>
      </c>
    </row>
    <row r="30" spans="28:28">
      <c r="AB30" s="35">
        <f t="shared" si="2"/>
        <v>1.01819548671609</v>
      </c>
    </row>
    <row r="31" spans="28:28">
      <c r="AB31" s="35">
        <f t="shared" si="2"/>
        <v>1.01666819348602</v>
      </c>
    </row>
    <row r="32" spans="28:28">
      <c r="AB32" s="35">
        <f t="shared" si="2"/>
        <v>1.01870152987299</v>
      </c>
    </row>
    <row r="33" spans="28:28">
      <c r="AB33" s="35">
        <f t="shared" si="2"/>
        <v>1.02094267323871</v>
      </c>
    </row>
    <row r="34" spans="28:28">
      <c r="AB34" s="35">
        <f t="shared" si="2"/>
        <v>1.02523063246632</v>
      </c>
    </row>
    <row r="35" spans="28:28">
      <c r="AB35" s="36">
        <f t="shared" si="2"/>
        <v>0</v>
      </c>
    </row>
  </sheetData>
  <mergeCells count="5">
    <mergeCell ref="A1:AK1"/>
    <mergeCell ref="A2:C2"/>
    <mergeCell ref="A5:AK5"/>
    <mergeCell ref="A18:AK18"/>
    <mergeCell ref="A20:AK20"/>
  </mergeCells>
  <hyperlinks>
    <hyperlink ref="A2" location="Содержание!A1" display="К содержанию"/>
  </hyperlinks>
  <pageMargins left="0.21" right="0.196850393700787" top="0.748031496062992" bottom="0.748031496062992" header="0.31496062992126" footer="0.31496062992126"/>
  <pageSetup paperSize="9" scale="8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22"/>
  <sheetViews>
    <sheetView workbookViewId="0">
      <selection activeCell="AB25" sqref="AB25"/>
    </sheetView>
  </sheetViews>
  <sheetFormatPr defaultColWidth="9.13888888888889" defaultRowHeight="14.4"/>
  <cols>
    <col min="1" max="1" width="7.85185185185185" style="2" customWidth="1"/>
    <col min="2" max="2" width="5.71296296296296" style="2" customWidth="1"/>
    <col min="3" max="3" width="7.85185185185185" style="2" customWidth="1"/>
    <col min="4" max="25" width="5.71296296296296" style="2" customWidth="1"/>
    <col min="26" max="26" width="6" style="2" customWidth="1"/>
    <col min="27" max="27" width="6.57407407407407" style="2" customWidth="1"/>
    <col min="28" max="30" width="6.71296296296296" style="2" customWidth="1"/>
    <col min="31" max="31" width="6.57407407407407" style="2" customWidth="1"/>
    <col min="32" max="32" width="6.85185185185185" style="2" customWidth="1"/>
    <col min="33" max="37" width="6.71296296296296" style="2" customWidth="1"/>
    <col min="38" max="16384" width="9.13888888888889" style="2"/>
  </cols>
  <sheetData>
    <row r="1" ht="21" spans="1:37">
      <c r="A1" s="3" t="s">
        <v>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ht="12.75" customHeight="1" spans="1:27">
      <c r="A2" s="4" t="s">
        <v>12</v>
      </c>
      <c r="B2" s="4"/>
      <c r="C2" s="4"/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3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AA3" s="20"/>
      <c r="AB3" s="20"/>
      <c r="AC3" s="20"/>
      <c r="AD3" s="20"/>
      <c r="AE3" s="20"/>
      <c r="AI3" s="20" t="s">
        <v>13</v>
      </c>
    </row>
    <row r="4" spans="1:37">
      <c r="A4" s="8"/>
      <c r="B4" s="9">
        <v>1991</v>
      </c>
      <c r="C4" s="9">
        <v>1992</v>
      </c>
      <c r="D4" s="9">
        <v>1993</v>
      </c>
      <c r="E4" s="9">
        <v>1994</v>
      </c>
      <c r="F4" s="9">
        <v>1995</v>
      </c>
      <c r="G4" s="9">
        <v>1996</v>
      </c>
      <c r="H4" s="9">
        <v>1997</v>
      </c>
      <c r="I4" s="9">
        <v>1998</v>
      </c>
      <c r="J4" s="9">
        <v>1999</v>
      </c>
      <c r="K4" s="9">
        <v>2000</v>
      </c>
      <c r="L4" s="9">
        <v>2001</v>
      </c>
      <c r="M4" s="9">
        <v>2002</v>
      </c>
      <c r="N4" s="9">
        <v>2003</v>
      </c>
      <c r="O4" s="9">
        <v>2004</v>
      </c>
      <c r="P4" s="9">
        <v>2005</v>
      </c>
      <c r="Q4" s="9">
        <v>2006</v>
      </c>
      <c r="R4" s="9">
        <v>2007</v>
      </c>
      <c r="S4" s="9">
        <v>2008</v>
      </c>
      <c r="T4" s="9">
        <v>2009</v>
      </c>
      <c r="U4" s="9">
        <v>2010</v>
      </c>
      <c r="V4" s="9">
        <v>2011</v>
      </c>
      <c r="W4" s="9">
        <v>2012</v>
      </c>
      <c r="X4" s="9">
        <v>2013</v>
      </c>
      <c r="Y4" s="9">
        <v>2014</v>
      </c>
      <c r="Z4" s="9">
        <v>2015</v>
      </c>
      <c r="AA4" s="9">
        <v>2016</v>
      </c>
      <c r="AB4" s="9">
        <v>2017</v>
      </c>
      <c r="AC4" s="9">
        <v>2018</v>
      </c>
      <c r="AD4" s="9">
        <v>2019</v>
      </c>
      <c r="AE4" s="9">
        <v>2020</v>
      </c>
      <c r="AF4" s="9">
        <v>2021</v>
      </c>
      <c r="AG4" s="9">
        <v>2022</v>
      </c>
      <c r="AH4" s="9">
        <v>2023</v>
      </c>
      <c r="AI4" s="9">
        <v>2024</v>
      </c>
      <c r="AJ4" s="9">
        <v>2025</v>
      </c>
      <c r="AK4" s="9">
        <v>2026</v>
      </c>
    </row>
    <row r="5" ht="15" customHeight="1" spans="1:37">
      <c r="A5" s="10" t="s">
        <v>14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24"/>
    </row>
    <row r="6" spans="1:37">
      <c r="A6" s="12" t="s">
        <v>15</v>
      </c>
      <c r="B6" s="13">
        <v>104.6</v>
      </c>
      <c r="C6" s="13">
        <v>405.1</v>
      </c>
      <c r="D6" s="13">
        <v>129</v>
      </c>
      <c r="E6" s="13">
        <v>121</v>
      </c>
      <c r="F6" s="13">
        <v>121.05</v>
      </c>
      <c r="G6" s="13">
        <v>103.95</v>
      </c>
      <c r="H6" s="13">
        <v>103.05</v>
      </c>
      <c r="I6" s="13">
        <v>102.07</v>
      </c>
      <c r="J6" s="13">
        <v>110.3</v>
      </c>
      <c r="K6" s="13">
        <v>102.17</v>
      </c>
      <c r="L6" s="13">
        <v>103.06</v>
      </c>
      <c r="M6" s="13">
        <v>102.82</v>
      </c>
      <c r="N6" s="13">
        <v>102.51</v>
      </c>
      <c r="O6" s="13">
        <v>101.61</v>
      </c>
      <c r="P6" s="13">
        <v>101.42</v>
      </c>
      <c r="Q6" s="13">
        <v>101.97</v>
      </c>
      <c r="R6" s="13">
        <v>100.94</v>
      </c>
      <c r="S6" s="13">
        <v>101.91</v>
      </c>
      <c r="T6" s="13">
        <v>101.4</v>
      </c>
      <c r="U6" s="13">
        <v>101.42</v>
      </c>
      <c r="V6" s="13">
        <v>102.6</v>
      </c>
      <c r="W6" s="13">
        <v>100.76</v>
      </c>
      <c r="X6" s="13">
        <v>101.76</v>
      </c>
      <c r="Y6" s="13">
        <v>101.02</v>
      </c>
      <c r="Z6" s="13">
        <v>105.66</v>
      </c>
      <c r="AA6" s="13">
        <v>101.19</v>
      </c>
      <c r="AB6" s="21">
        <v>100.85</v>
      </c>
      <c r="AC6" s="13">
        <v>100.5</v>
      </c>
      <c r="AD6" s="22">
        <v>101.27</v>
      </c>
      <c r="AE6" s="22">
        <v>100.69</v>
      </c>
      <c r="AF6" s="22">
        <v>101.01</v>
      </c>
      <c r="AG6" s="22">
        <v>101.44</v>
      </c>
      <c r="AH6" s="22">
        <v>101.32</v>
      </c>
      <c r="AI6" s="22">
        <v>101.26</v>
      </c>
      <c r="AJ6" s="22">
        <v>101.33</v>
      </c>
      <c r="AK6" s="22">
        <v>101.95</v>
      </c>
    </row>
    <row r="7" spans="1:37">
      <c r="A7" s="12" t="s">
        <v>16</v>
      </c>
      <c r="B7" s="13">
        <v>103.1</v>
      </c>
      <c r="C7" s="13">
        <v>129.8</v>
      </c>
      <c r="D7" s="13">
        <v>124.78</v>
      </c>
      <c r="E7" s="13">
        <v>110.6</v>
      </c>
      <c r="F7" s="13">
        <v>110.27</v>
      </c>
      <c r="G7" s="13">
        <v>102.4</v>
      </c>
      <c r="H7" s="13">
        <v>101.42</v>
      </c>
      <c r="I7" s="13">
        <v>101.22</v>
      </c>
      <c r="J7" s="13">
        <v>104.37</v>
      </c>
      <c r="K7" s="13">
        <v>100.46</v>
      </c>
      <c r="L7" s="13">
        <v>102.28</v>
      </c>
      <c r="M7" s="13">
        <v>100.87</v>
      </c>
      <c r="N7" s="13">
        <v>101.2</v>
      </c>
      <c r="O7" s="13">
        <v>101.12</v>
      </c>
      <c r="P7" s="13">
        <v>101.37</v>
      </c>
      <c r="Q7" s="13">
        <v>102.98</v>
      </c>
      <c r="R7" s="13">
        <v>100.83</v>
      </c>
      <c r="S7" s="13">
        <v>101.66</v>
      </c>
      <c r="T7" s="13">
        <v>101.85</v>
      </c>
      <c r="U7" s="13">
        <v>101.26</v>
      </c>
      <c r="V7" s="13">
        <v>101.22</v>
      </c>
      <c r="W7" s="13">
        <v>100.68</v>
      </c>
      <c r="X7" s="13">
        <v>100.81</v>
      </c>
      <c r="Y7" s="13">
        <v>101.18</v>
      </c>
      <c r="Z7" s="13">
        <v>103.29</v>
      </c>
      <c r="AA7" s="13">
        <v>100.68</v>
      </c>
      <c r="AB7" s="21">
        <v>100.2</v>
      </c>
      <c r="AC7" s="13">
        <v>100.35</v>
      </c>
      <c r="AD7" s="22">
        <v>100.79</v>
      </c>
      <c r="AE7" s="22">
        <v>100.57</v>
      </c>
      <c r="AF7" s="22">
        <v>101.22</v>
      </c>
      <c r="AG7" s="22">
        <v>101.56</v>
      </c>
      <c r="AH7" s="22">
        <v>100.79</v>
      </c>
      <c r="AI7" s="22">
        <v>100.77</v>
      </c>
      <c r="AJ7" s="22">
        <v>101.27</v>
      </c>
      <c r="AK7" s="22">
        <v>100.84</v>
      </c>
    </row>
    <row r="8" spans="1:37">
      <c r="A8" s="12" t="s">
        <v>17</v>
      </c>
      <c r="B8" s="13">
        <v>105.2</v>
      </c>
      <c r="C8" s="13">
        <v>123</v>
      </c>
      <c r="D8" s="13">
        <v>118.3</v>
      </c>
      <c r="E8" s="13">
        <v>105.8</v>
      </c>
      <c r="F8" s="13">
        <v>108.46</v>
      </c>
      <c r="G8" s="13">
        <v>102.92</v>
      </c>
      <c r="H8" s="13">
        <v>101.42</v>
      </c>
      <c r="I8" s="13">
        <v>100.72</v>
      </c>
      <c r="J8" s="13">
        <v>102.79</v>
      </c>
      <c r="K8" s="13">
        <v>100.09</v>
      </c>
      <c r="L8" s="13">
        <v>101.77</v>
      </c>
      <c r="M8" s="13">
        <v>100.46</v>
      </c>
      <c r="N8" s="13">
        <v>100.97</v>
      </c>
      <c r="O8" s="13">
        <v>101.05</v>
      </c>
      <c r="P8" s="13">
        <v>102.07</v>
      </c>
      <c r="Q8" s="13">
        <v>101.17</v>
      </c>
      <c r="R8" s="13">
        <v>100.77</v>
      </c>
      <c r="S8" s="13">
        <v>101.98</v>
      </c>
      <c r="T8" s="13">
        <v>101.69</v>
      </c>
      <c r="U8" s="13">
        <v>101.03</v>
      </c>
      <c r="V8" s="13">
        <v>100.94</v>
      </c>
      <c r="W8" s="13">
        <v>100.81</v>
      </c>
      <c r="X8" s="13">
        <v>100.41</v>
      </c>
      <c r="Y8" s="13">
        <v>101.76</v>
      </c>
      <c r="Z8" s="13">
        <v>101.57</v>
      </c>
      <c r="AA8" s="13">
        <v>100.4</v>
      </c>
      <c r="AB8" s="21">
        <v>100.14</v>
      </c>
      <c r="AC8" s="13">
        <v>100.53</v>
      </c>
      <c r="AD8" s="22">
        <v>100.53</v>
      </c>
      <c r="AE8" s="22">
        <v>100.96</v>
      </c>
      <c r="AF8" s="22">
        <v>100.82</v>
      </c>
      <c r="AG8" s="22">
        <v>106.73</v>
      </c>
      <c r="AH8" s="22">
        <v>100.13</v>
      </c>
      <c r="AI8" s="22">
        <v>100.17</v>
      </c>
      <c r="AJ8" s="22">
        <v>100.83</v>
      </c>
      <c r="AK8" s="22">
        <v>100.38</v>
      </c>
    </row>
    <row r="9" spans="1:37">
      <c r="A9" s="12" t="s">
        <v>18</v>
      </c>
      <c r="B9" s="13">
        <v>171.8</v>
      </c>
      <c r="C9" s="13">
        <v>116.11</v>
      </c>
      <c r="D9" s="13">
        <v>116.1</v>
      </c>
      <c r="E9" s="13">
        <v>105.6</v>
      </c>
      <c r="F9" s="13">
        <v>107.52</v>
      </c>
      <c r="G9" s="13">
        <v>101.84</v>
      </c>
      <c r="H9" s="13">
        <v>100.98</v>
      </c>
      <c r="I9" s="13">
        <v>100.32</v>
      </c>
      <c r="J9" s="13">
        <v>102.57</v>
      </c>
      <c r="K9" s="13">
        <v>100.3</v>
      </c>
      <c r="L9" s="13">
        <v>102.01</v>
      </c>
      <c r="M9" s="13">
        <v>100.96</v>
      </c>
      <c r="N9" s="13">
        <v>100.98</v>
      </c>
      <c r="O9" s="13">
        <v>100.84</v>
      </c>
      <c r="P9" s="13">
        <v>101.7</v>
      </c>
      <c r="Q9" s="13">
        <v>100.26</v>
      </c>
      <c r="R9" s="13">
        <v>100.75</v>
      </c>
      <c r="S9" s="13">
        <v>102.19</v>
      </c>
      <c r="T9" s="13">
        <v>100.69</v>
      </c>
      <c r="U9" s="13">
        <v>100.3</v>
      </c>
      <c r="V9" s="13">
        <v>100.36</v>
      </c>
      <c r="W9" s="13">
        <v>100.23</v>
      </c>
      <c r="X9" s="13">
        <v>100.7</v>
      </c>
      <c r="Y9" s="13">
        <v>101.29</v>
      </c>
      <c r="Z9" s="13">
        <v>100.33</v>
      </c>
      <c r="AA9" s="13">
        <v>100.42</v>
      </c>
      <c r="AB9" s="21">
        <v>100.6</v>
      </c>
      <c r="AC9" s="13">
        <v>100.43</v>
      </c>
      <c r="AD9" s="22">
        <v>100.43</v>
      </c>
      <c r="AE9" s="22">
        <v>101.72</v>
      </c>
      <c r="AF9" s="22">
        <v>100.75</v>
      </c>
      <c r="AG9" s="22">
        <v>102.87</v>
      </c>
      <c r="AH9" s="22">
        <v>100.29</v>
      </c>
      <c r="AI9" s="22">
        <v>100.49</v>
      </c>
      <c r="AJ9" s="22">
        <v>100.71</v>
      </c>
      <c r="AK9" s="22"/>
    </row>
    <row r="10" spans="1:37">
      <c r="A10" s="12" t="s">
        <v>19</v>
      </c>
      <c r="B10" s="13">
        <v>100.5</v>
      </c>
      <c r="C10" s="13">
        <v>110.7</v>
      </c>
      <c r="D10" s="13">
        <v>116.2</v>
      </c>
      <c r="E10" s="13">
        <v>106.8</v>
      </c>
      <c r="F10" s="13">
        <v>108.83</v>
      </c>
      <c r="G10" s="13">
        <v>101.66</v>
      </c>
      <c r="H10" s="13">
        <v>100.81</v>
      </c>
      <c r="I10" s="13">
        <v>100.58</v>
      </c>
      <c r="J10" s="13">
        <v>102.01</v>
      </c>
      <c r="K10" s="13">
        <v>102.17</v>
      </c>
      <c r="L10" s="13">
        <v>102.27</v>
      </c>
      <c r="M10" s="13">
        <v>102.21</v>
      </c>
      <c r="N10" s="13">
        <v>100.69</v>
      </c>
      <c r="O10" s="13">
        <v>100.43</v>
      </c>
      <c r="P10" s="13">
        <v>101.06</v>
      </c>
      <c r="Q10" s="13">
        <v>100.47</v>
      </c>
      <c r="R10" s="13">
        <v>100.95</v>
      </c>
      <c r="S10" s="13">
        <v>102.07</v>
      </c>
      <c r="T10" s="13">
        <v>100.66</v>
      </c>
      <c r="U10" s="13">
        <v>100.69</v>
      </c>
      <c r="V10" s="13">
        <v>100.03</v>
      </c>
      <c r="W10" s="13">
        <v>100.56</v>
      </c>
      <c r="X10" s="13">
        <v>100.95</v>
      </c>
      <c r="Y10" s="13">
        <v>101.45</v>
      </c>
      <c r="Z10" s="13">
        <v>100.07</v>
      </c>
      <c r="AA10" s="13">
        <v>100.37</v>
      </c>
      <c r="AB10" s="21">
        <v>100.59</v>
      </c>
      <c r="AC10" s="13">
        <v>99.94</v>
      </c>
      <c r="AD10" s="22">
        <v>100.41</v>
      </c>
      <c r="AE10" s="22">
        <v>100.16</v>
      </c>
      <c r="AF10" s="22">
        <v>100.96</v>
      </c>
      <c r="AG10" s="13">
        <v>100.6</v>
      </c>
      <c r="AH10" s="13">
        <v>99.69</v>
      </c>
      <c r="AI10" s="22">
        <v>100.41</v>
      </c>
      <c r="AJ10" s="22">
        <v>100.26</v>
      </c>
      <c r="AK10" s="22"/>
    </row>
    <row r="11" spans="1:37">
      <c r="A11" s="12" t="s">
        <v>20</v>
      </c>
      <c r="B11" s="13">
        <v>99.7</v>
      </c>
      <c r="C11" s="13">
        <v>120</v>
      </c>
      <c r="D11" s="13">
        <v>122.7</v>
      </c>
      <c r="E11" s="13">
        <v>105.6</v>
      </c>
      <c r="F11" s="13">
        <v>107.56</v>
      </c>
      <c r="G11" s="13">
        <v>101.2</v>
      </c>
      <c r="H11" s="13">
        <v>101.47</v>
      </c>
      <c r="I11" s="13">
        <v>99.98</v>
      </c>
      <c r="J11" s="13">
        <v>101.72</v>
      </c>
      <c r="K11" s="13">
        <v>103.26</v>
      </c>
      <c r="L11" s="13">
        <v>101.91</v>
      </c>
      <c r="M11" s="13">
        <v>99.82</v>
      </c>
      <c r="N11" s="13">
        <v>100.79</v>
      </c>
      <c r="O11" s="13">
        <v>100.8</v>
      </c>
      <c r="P11" s="13">
        <v>100.72</v>
      </c>
      <c r="Q11" s="13">
        <v>100.02</v>
      </c>
      <c r="R11" s="13">
        <v>101.73</v>
      </c>
      <c r="S11" s="13">
        <v>101.08</v>
      </c>
      <c r="T11" s="13">
        <v>100.51</v>
      </c>
      <c r="U11" s="13">
        <v>100.54</v>
      </c>
      <c r="V11" s="13">
        <v>99.75</v>
      </c>
      <c r="W11" s="13">
        <v>101.61</v>
      </c>
      <c r="X11" s="13">
        <v>100.5</v>
      </c>
      <c r="Y11" s="13">
        <v>100.69</v>
      </c>
      <c r="Z11" s="13">
        <v>99.55</v>
      </c>
      <c r="AA11" s="13">
        <v>100.12</v>
      </c>
      <c r="AB11" s="21">
        <v>101.02</v>
      </c>
      <c r="AC11" s="13">
        <v>100.38</v>
      </c>
      <c r="AD11" s="22">
        <v>99.52</v>
      </c>
      <c r="AE11" s="22">
        <v>100.17</v>
      </c>
      <c r="AF11" s="22">
        <v>100.64</v>
      </c>
      <c r="AG11" s="13">
        <v>98.9</v>
      </c>
      <c r="AH11" s="13">
        <v>99.99</v>
      </c>
      <c r="AI11" s="22">
        <v>100.63</v>
      </c>
      <c r="AJ11" s="22">
        <v>100.11</v>
      </c>
      <c r="AK11" s="22"/>
    </row>
    <row r="12" spans="1:37">
      <c r="A12" s="12" t="s">
        <v>21</v>
      </c>
      <c r="B12" s="13">
        <v>97.2</v>
      </c>
      <c r="C12" s="13">
        <v>108.9</v>
      </c>
      <c r="D12" s="13">
        <v>122.51</v>
      </c>
      <c r="E12" s="13">
        <v>103.8</v>
      </c>
      <c r="F12" s="13">
        <v>104.47</v>
      </c>
      <c r="G12" s="13">
        <v>100.21</v>
      </c>
      <c r="H12" s="13">
        <v>100.79</v>
      </c>
      <c r="I12" s="13">
        <v>99.9</v>
      </c>
      <c r="J12" s="13">
        <v>103.18</v>
      </c>
      <c r="K12" s="13">
        <v>101.75</v>
      </c>
      <c r="L12" s="13">
        <v>99.74</v>
      </c>
      <c r="M12" s="13">
        <v>100.43</v>
      </c>
      <c r="N12" s="13">
        <v>100.41</v>
      </c>
      <c r="O12" s="13">
        <v>101.01</v>
      </c>
      <c r="P12" s="13">
        <v>100.27</v>
      </c>
      <c r="Q12" s="13">
        <v>100.89</v>
      </c>
      <c r="R12" s="13">
        <v>101.42</v>
      </c>
      <c r="S12" s="13">
        <v>100.09</v>
      </c>
      <c r="T12" s="13">
        <v>100.55</v>
      </c>
      <c r="U12" s="13">
        <v>100.31</v>
      </c>
      <c r="V12" s="13">
        <v>99.29</v>
      </c>
      <c r="W12" s="13">
        <v>101.11</v>
      </c>
      <c r="X12" s="13">
        <v>99.95</v>
      </c>
      <c r="Y12" s="13">
        <v>99.94</v>
      </c>
      <c r="Z12" s="13">
        <v>99.73</v>
      </c>
      <c r="AA12" s="13">
        <v>99.96</v>
      </c>
      <c r="AB12" s="21">
        <v>99.03</v>
      </c>
      <c r="AC12" s="13">
        <v>99.67</v>
      </c>
      <c r="AD12" s="13">
        <v>99.7</v>
      </c>
      <c r="AE12" s="22">
        <v>99.93</v>
      </c>
      <c r="AF12" s="13">
        <v>99.5</v>
      </c>
      <c r="AG12" s="13">
        <v>98.47</v>
      </c>
      <c r="AH12" s="13">
        <v>100.49</v>
      </c>
      <c r="AI12" s="22">
        <v>100.36</v>
      </c>
      <c r="AJ12" s="22">
        <v>99.36</v>
      </c>
      <c r="AK12" s="22"/>
    </row>
    <row r="13" spans="1:37">
      <c r="A13" s="12" t="s">
        <v>22</v>
      </c>
      <c r="B13" s="13">
        <v>96.6</v>
      </c>
      <c r="C13" s="13">
        <v>107.49</v>
      </c>
      <c r="D13" s="13">
        <v>122.57</v>
      </c>
      <c r="E13" s="13">
        <v>102.69</v>
      </c>
      <c r="F13" s="13">
        <v>102.72</v>
      </c>
      <c r="G13" s="13">
        <v>98.31</v>
      </c>
      <c r="H13" s="13">
        <v>99.14</v>
      </c>
      <c r="I13" s="13">
        <v>102.39</v>
      </c>
      <c r="J13" s="13">
        <v>100.45</v>
      </c>
      <c r="K13" s="13">
        <v>100.29</v>
      </c>
      <c r="L13" s="13">
        <v>98.97</v>
      </c>
      <c r="M13" s="13">
        <v>98.92</v>
      </c>
      <c r="N13" s="13">
        <v>98.59</v>
      </c>
      <c r="O13" s="13">
        <v>100.11</v>
      </c>
      <c r="P13" s="13">
        <v>98.95</v>
      </c>
      <c r="Q13" s="13">
        <v>99.45</v>
      </c>
      <c r="R13" s="13">
        <v>99.4</v>
      </c>
      <c r="S13" s="13">
        <v>99.82</v>
      </c>
      <c r="T13" s="13">
        <v>99.11</v>
      </c>
      <c r="U13" s="13">
        <v>100.9</v>
      </c>
      <c r="V13" s="13">
        <v>98.63</v>
      </c>
      <c r="W13" s="13">
        <v>99.48</v>
      </c>
      <c r="X13" s="13">
        <v>99.25</v>
      </c>
      <c r="Y13" s="13">
        <v>99.74</v>
      </c>
      <c r="Z13" s="13">
        <v>99.34</v>
      </c>
      <c r="AA13" s="13">
        <v>99.41</v>
      </c>
      <c r="AB13" s="21">
        <v>98.2</v>
      </c>
      <c r="AC13" s="13">
        <v>99.62</v>
      </c>
      <c r="AD13" s="22">
        <v>99.09</v>
      </c>
      <c r="AE13" s="22">
        <v>99.23</v>
      </c>
      <c r="AF13" s="22">
        <v>99.49</v>
      </c>
      <c r="AG13" s="22">
        <v>98.64</v>
      </c>
      <c r="AH13" s="22">
        <v>99.94</v>
      </c>
      <c r="AI13" s="22">
        <v>99.99</v>
      </c>
      <c r="AJ13" s="22">
        <v>99.09</v>
      </c>
      <c r="AK13" s="22"/>
    </row>
    <row r="14" spans="1:37">
      <c r="A14" s="12" t="s">
        <v>23</v>
      </c>
      <c r="B14" s="13">
        <v>98.1</v>
      </c>
      <c r="C14" s="13">
        <v>112.8</v>
      </c>
      <c r="D14" s="13">
        <v>123.7</v>
      </c>
      <c r="E14" s="13">
        <v>106.9</v>
      </c>
      <c r="F14" s="13">
        <v>102.76</v>
      </c>
      <c r="G14" s="13">
        <v>99.52</v>
      </c>
      <c r="H14" s="13">
        <v>98.64</v>
      </c>
      <c r="I14" s="13">
        <v>139.48</v>
      </c>
      <c r="J14" s="13">
        <v>100.8</v>
      </c>
      <c r="K14" s="13">
        <v>100.6</v>
      </c>
      <c r="L14" s="13">
        <v>99.75</v>
      </c>
      <c r="M14" s="13">
        <v>99.27</v>
      </c>
      <c r="N14" s="13">
        <v>99.82</v>
      </c>
      <c r="O14" s="13">
        <v>100.04</v>
      </c>
      <c r="P14" s="13">
        <v>99.34</v>
      </c>
      <c r="Q14" s="13">
        <v>99.37</v>
      </c>
      <c r="R14" s="13">
        <v>101.02</v>
      </c>
      <c r="S14" s="13">
        <v>100.74</v>
      </c>
      <c r="T14" s="13">
        <v>99.21</v>
      </c>
      <c r="U14" s="13">
        <v>101.62</v>
      </c>
      <c r="V14" s="13">
        <v>99.35</v>
      </c>
      <c r="W14" s="13">
        <v>100.14</v>
      </c>
      <c r="X14" s="13">
        <v>99.98</v>
      </c>
      <c r="Y14" s="13">
        <v>101</v>
      </c>
      <c r="Z14" s="13">
        <v>100.42</v>
      </c>
      <c r="AA14" s="13">
        <v>99.86</v>
      </c>
      <c r="AB14" s="21">
        <v>99.29</v>
      </c>
      <c r="AC14" s="13">
        <v>99.92</v>
      </c>
      <c r="AD14" s="22">
        <v>99.56</v>
      </c>
      <c r="AE14" s="22">
        <v>99.59</v>
      </c>
      <c r="AF14" s="22">
        <v>100.99</v>
      </c>
      <c r="AG14" s="22">
        <v>99.62</v>
      </c>
      <c r="AH14" s="22">
        <v>100.86</v>
      </c>
      <c r="AI14" s="22">
        <v>100.34</v>
      </c>
      <c r="AJ14" s="22">
        <v>100.03</v>
      </c>
      <c r="AK14" s="22"/>
    </row>
    <row r="15" spans="1:37">
      <c r="A15" s="12" t="s">
        <v>24</v>
      </c>
      <c r="B15" s="13">
        <v>102.3</v>
      </c>
      <c r="C15" s="13">
        <v>124.7</v>
      </c>
      <c r="D15" s="13">
        <v>118.5</v>
      </c>
      <c r="E15" s="13">
        <v>115.3</v>
      </c>
      <c r="F15" s="13">
        <v>103.41</v>
      </c>
      <c r="G15" s="13">
        <v>100.4</v>
      </c>
      <c r="H15" s="13">
        <v>99.49</v>
      </c>
      <c r="I15" s="13">
        <v>103.91</v>
      </c>
      <c r="J15" s="13">
        <v>100.86</v>
      </c>
      <c r="K15" s="13">
        <v>102.13</v>
      </c>
      <c r="L15" s="13">
        <v>100.74</v>
      </c>
      <c r="M15" s="13">
        <v>100.62</v>
      </c>
      <c r="N15" s="13">
        <v>101.1</v>
      </c>
      <c r="O15" s="13">
        <v>101.39</v>
      </c>
      <c r="P15" s="13">
        <v>100.36</v>
      </c>
      <c r="Q15" s="13">
        <v>99.95</v>
      </c>
      <c r="R15" s="13">
        <v>103.26</v>
      </c>
      <c r="S15" s="13">
        <v>101.57</v>
      </c>
      <c r="T15" s="13">
        <v>99.47</v>
      </c>
      <c r="U15" s="13">
        <v>100.7</v>
      </c>
      <c r="V15" s="13">
        <v>100.51</v>
      </c>
      <c r="W15" s="13">
        <v>100.53</v>
      </c>
      <c r="X15" s="13">
        <v>101.11</v>
      </c>
      <c r="Y15" s="13">
        <v>101.17</v>
      </c>
      <c r="Z15" s="13">
        <v>101.04</v>
      </c>
      <c r="AA15" s="13">
        <v>100.78</v>
      </c>
      <c r="AB15" s="21">
        <v>100.38</v>
      </c>
      <c r="AC15" s="13">
        <v>100.55</v>
      </c>
      <c r="AD15" s="22">
        <v>100.18</v>
      </c>
      <c r="AE15" s="22">
        <v>100.62</v>
      </c>
      <c r="AF15" s="22">
        <v>102.17</v>
      </c>
      <c r="AG15" s="22">
        <v>100.28</v>
      </c>
      <c r="AH15" s="22">
        <v>101.35</v>
      </c>
      <c r="AI15" s="22">
        <v>101.23</v>
      </c>
      <c r="AJ15" s="22">
        <v>101.05</v>
      </c>
      <c r="AK15" s="22"/>
    </row>
    <row r="16" spans="1:37">
      <c r="A16" s="12" t="s">
        <v>25</v>
      </c>
      <c r="B16" s="13">
        <v>110.6</v>
      </c>
      <c r="C16" s="13">
        <v>127.3</v>
      </c>
      <c r="D16" s="13">
        <v>115.89</v>
      </c>
      <c r="E16" s="13">
        <v>117.28</v>
      </c>
      <c r="F16" s="13">
        <v>103.96</v>
      </c>
      <c r="G16" s="13">
        <v>102.15</v>
      </c>
      <c r="H16" s="13">
        <v>100.4</v>
      </c>
      <c r="I16" s="13">
        <v>107.61</v>
      </c>
      <c r="J16" s="13">
        <v>101</v>
      </c>
      <c r="K16" s="13">
        <v>101.52</v>
      </c>
      <c r="L16" s="13">
        <v>101.48</v>
      </c>
      <c r="M16" s="13">
        <v>101.96</v>
      </c>
      <c r="N16" s="13">
        <v>101.24</v>
      </c>
      <c r="O16" s="13">
        <v>101.53</v>
      </c>
      <c r="P16" s="13">
        <v>100.89</v>
      </c>
      <c r="Q16" s="13">
        <v>100.78</v>
      </c>
      <c r="R16" s="13">
        <v>101.93</v>
      </c>
      <c r="S16" s="13">
        <v>101.26</v>
      </c>
      <c r="T16" s="13">
        <v>100.27</v>
      </c>
      <c r="U16" s="13">
        <v>101.35</v>
      </c>
      <c r="V16" s="13">
        <v>100.52</v>
      </c>
      <c r="W16" s="13">
        <v>100.45</v>
      </c>
      <c r="X16" s="13">
        <v>100.94</v>
      </c>
      <c r="Y16" s="13">
        <v>101.99</v>
      </c>
      <c r="Z16" s="13">
        <v>101.16</v>
      </c>
      <c r="AA16" s="13">
        <v>100.72</v>
      </c>
      <c r="AB16" s="21">
        <v>100.2</v>
      </c>
      <c r="AC16" s="13">
        <v>100.99</v>
      </c>
      <c r="AD16" s="22">
        <v>100.45</v>
      </c>
      <c r="AE16" s="22">
        <v>101.34</v>
      </c>
      <c r="AF16" s="22">
        <v>101.27</v>
      </c>
      <c r="AG16" s="13">
        <v>100.4</v>
      </c>
      <c r="AH16" s="13">
        <v>101.55</v>
      </c>
      <c r="AI16" s="22">
        <v>102.33</v>
      </c>
      <c r="AJ16" s="22">
        <v>100.69</v>
      </c>
      <c r="AK16" s="22"/>
    </row>
    <row r="17" spans="1:37">
      <c r="A17" s="12" t="s">
        <v>26</v>
      </c>
      <c r="B17" s="13">
        <v>116.1</v>
      </c>
      <c r="C17" s="13">
        <v>125.6</v>
      </c>
      <c r="D17" s="13">
        <v>112.54</v>
      </c>
      <c r="E17" s="13">
        <v>120.9</v>
      </c>
      <c r="F17" s="13">
        <v>103.4</v>
      </c>
      <c r="G17" s="13">
        <v>101.99</v>
      </c>
      <c r="H17" s="13">
        <v>101.22</v>
      </c>
      <c r="I17" s="13">
        <v>117.05</v>
      </c>
      <c r="J17" s="13">
        <v>101.38</v>
      </c>
      <c r="K17" s="13">
        <v>101.88</v>
      </c>
      <c r="L17" s="13">
        <v>102.04</v>
      </c>
      <c r="M17" s="13">
        <v>102.22</v>
      </c>
      <c r="N17" s="13">
        <v>101.47</v>
      </c>
      <c r="O17" s="13">
        <v>101.74</v>
      </c>
      <c r="P17" s="13">
        <v>101.06</v>
      </c>
      <c r="Q17" s="13">
        <v>101.09</v>
      </c>
      <c r="R17" s="13">
        <v>101.61</v>
      </c>
      <c r="S17" s="13">
        <v>101.01</v>
      </c>
      <c r="T17" s="13">
        <v>100.55</v>
      </c>
      <c r="U17" s="13">
        <v>102.07</v>
      </c>
      <c r="V17" s="13">
        <v>100.67</v>
      </c>
      <c r="W17" s="13">
        <v>100.88</v>
      </c>
      <c r="X17" s="13">
        <v>100.75</v>
      </c>
      <c r="Y17" s="13">
        <v>103.25</v>
      </c>
      <c r="Z17" s="13">
        <v>101.18</v>
      </c>
      <c r="AA17" s="13">
        <v>100.58</v>
      </c>
      <c r="AB17" s="21">
        <v>100.6</v>
      </c>
      <c r="AC17" s="13">
        <v>101.7</v>
      </c>
      <c r="AD17" s="22">
        <v>100.65</v>
      </c>
      <c r="AE17" s="22">
        <v>101.53</v>
      </c>
      <c r="AF17" s="22">
        <v>101.36</v>
      </c>
      <c r="AG17" s="13">
        <v>100.6</v>
      </c>
      <c r="AH17" s="13">
        <v>101.49</v>
      </c>
      <c r="AI17" s="13">
        <v>102.6</v>
      </c>
      <c r="AJ17" s="22">
        <v>100.43</v>
      </c>
      <c r="AK17" s="22"/>
    </row>
    <row r="18" spans="1:37">
      <c r="A18" s="14" t="s">
        <v>27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25"/>
    </row>
    <row r="19" s="1" customFormat="1" spans="1:37">
      <c r="A19" s="16" t="s">
        <v>26</v>
      </c>
      <c r="B19" s="17">
        <v>236.1</v>
      </c>
      <c r="C19" s="17">
        <v>2626.2</v>
      </c>
      <c r="D19" s="17">
        <v>904.9</v>
      </c>
      <c r="E19" s="17">
        <v>314.13</v>
      </c>
      <c r="F19" s="17">
        <v>223.36</v>
      </c>
      <c r="G19" s="17">
        <v>117.72</v>
      </c>
      <c r="H19" s="17">
        <v>109.1</v>
      </c>
      <c r="I19" s="17">
        <v>196</v>
      </c>
      <c r="J19" s="17">
        <v>135.88</v>
      </c>
      <c r="K19" s="17">
        <v>117.89</v>
      </c>
      <c r="L19" s="17">
        <v>117.14</v>
      </c>
      <c r="M19" s="17">
        <v>110.99</v>
      </c>
      <c r="N19" s="17">
        <v>110.18</v>
      </c>
      <c r="O19" s="17">
        <v>112.29</v>
      </c>
      <c r="P19" s="17">
        <v>109.57</v>
      </c>
      <c r="Q19" s="17">
        <v>108.67</v>
      </c>
      <c r="R19" s="17">
        <v>115.56</v>
      </c>
      <c r="S19" s="17">
        <v>116.45</v>
      </c>
      <c r="T19" s="17">
        <v>106.08</v>
      </c>
      <c r="U19" s="17">
        <v>112.89</v>
      </c>
      <c r="V19" s="17">
        <v>103.87</v>
      </c>
      <c r="W19" s="17">
        <v>107.48</v>
      </c>
      <c r="X19" s="17">
        <v>107.32</v>
      </c>
      <c r="Y19" s="17">
        <v>115.43</v>
      </c>
      <c r="Z19" s="17">
        <v>114</v>
      </c>
      <c r="AA19" s="17">
        <v>104.57</v>
      </c>
      <c r="AB19" s="17">
        <v>101.07</v>
      </c>
      <c r="AC19" s="17">
        <v>104.66</v>
      </c>
      <c r="AD19" s="17">
        <v>102.58</v>
      </c>
      <c r="AE19" s="17">
        <v>106.69</v>
      </c>
      <c r="AF19" s="17">
        <v>110.62</v>
      </c>
      <c r="AG19" s="17">
        <v>110.29</v>
      </c>
      <c r="AH19" s="17">
        <v>108.16</v>
      </c>
      <c r="AI19" s="17">
        <v>111.05</v>
      </c>
      <c r="AJ19" s="17">
        <v>105.24</v>
      </c>
      <c r="AK19" s="17" t="s">
        <v>32</v>
      </c>
    </row>
    <row r="20" s="1" customFormat="1" ht="32.25" customHeight="1" spans="1:37">
      <c r="A20" s="18" t="s">
        <v>33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</row>
    <row r="22" spans="1:1">
      <c r="A22" s="19" t="s">
        <v>34</v>
      </c>
    </row>
  </sheetData>
  <mergeCells count="5">
    <mergeCell ref="A1:AK1"/>
    <mergeCell ref="A2:C2"/>
    <mergeCell ref="A5:AK5"/>
    <mergeCell ref="A18:AK18"/>
    <mergeCell ref="A20:AK20"/>
  </mergeCells>
  <hyperlinks>
    <hyperlink ref="A2" location="Содержание!A1" display="К содержанию"/>
  </hyperlinks>
  <pageMargins left="0.21" right="0.196850393700787" top="0.748031496062992" bottom="0.748031496062992" header="0.31496062992126" footer="0.31496062992126"/>
  <pageSetup paperSize="9" scale="95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22"/>
  <sheetViews>
    <sheetView workbookViewId="0">
      <selection activeCell="AB24" sqref="AB24"/>
    </sheetView>
  </sheetViews>
  <sheetFormatPr defaultColWidth="9.13888888888889" defaultRowHeight="14.4"/>
  <cols>
    <col min="1" max="1" width="7.85185185185185" style="2" customWidth="1"/>
    <col min="2" max="2" width="5.71296296296296" style="2" customWidth="1"/>
    <col min="3" max="3" width="6.57407407407407" style="2" customWidth="1"/>
    <col min="4" max="25" width="5.71296296296296" style="2" customWidth="1"/>
    <col min="26" max="26" width="6" style="2" customWidth="1"/>
    <col min="27" max="27" width="6.42592592592593" style="2" customWidth="1"/>
    <col min="28" max="31" width="6.71296296296296" style="2" customWidth="1"/>
    <col min="32" max="32" width="6.85185185185185" style="2" customWidth="1"/>
    <col min="33" max="37" width="6.71296296296296" style="2" customWidth="1"/>
    <col min="38" max="16384" width="9.13888888888889" style="2"/>
  </cols>
  <sheetData>
    <row r="1" ht="21" spans="1:37">
      <c r="A1" s="3" t="s">
        <v>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ht="12.75" customHeight="1" spans="1:27">
      <c r="A2" s="4" t="s">
        <v>12</v>
      </c>
      <c r="B2" s="4"/>
      <c r="C2" s="4"/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36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AA3" s="20"/>
      <c r="AB3" s="20"/>
      <c r="AC3" s="20"/>
      <c r="AD3" s="20"/>
      <c r="AI3" s="20" t="s">
        <v>13</v>
      </c>
      <c r="AJ3" s="20"/>
    </row>
    <row r="4" spans="1:37">
      <c r="A4" s="8"/>
      <c r="B4" s="9">
        <v>1991</v>
      </c>
      <c r="C4" s="9">
        <v>1992</v>
      </c>
      <c r="D4" s="9">
        <v>1993</v>
      </c>
      <c r="E4" s="9">
        <v>1994</v>
      </c>
      <c r="F4" s="9">
        <v>1995</v>
      </c>
      <c r="G4" s="9">
        <v>1996</v>
      </c>
      <c r="H4" s="9">
        <v>1997</v>
      </c>
      <c r="I4" s="9">
        <v>1998</v>
      </c>
      <c r="J4" s="9">
        <v>1999</v>
      </c>
      <c r="K4" s="9">
        <v>2000</v>
      </c>
      <c r="L4" s="9">
        <v>2001</v>
      </c>
      <c r="M4" s="9">
        <v>2002</v>
      </c>
      <c r="N4" s="9">
        <v>2003</v>
      </c>
      <c r="O4" s="9">
        <v>2004</v>
      </c>
      <c r="P4" s="9">
        <v>2005</v>
      </c>
      <c r="Q4" s="9">
        <v>2006</v>
      </c>
      <c r="R4" s="9">
        <v>2007</v>
      </c>
      <c r="S4" s="9">
        <v>2008</v>
      </c>
      <c r="T4" s="9">
        <v>2009</v>
      </c>
      <c r="U4" s="9">
        <v>2010</v>
      </c>
      <c r="V4" s="9">
        <v>2011</v>
      </c>
      <c r="W4" s="9">
        <v>2012</v>
      </c>
      <c r="X4" s="9">
        <v>2013</v>
      </c>
      <c r="Y4" s="9">
        <v>2014</v>
      </c>
      <c r="Z4" s="9">
        <v>2015</v>
      </c>
      <c r="AA4" s="9">
        <v>2016</v>
      </c>
      <c r="AB4" s="9">
        <v>2017</v>
      </c>
      <c r="AC4" s="9">
        <v>2018</v>
      </c>
      <c r="AD4" s="9">
        <v>2019</v>
      </c>
      <c r="AE4" s="9">
        <v>2020</v>
      </c>
      <c r="AF4" s="9">
        <v>2021</v>
      </c>
      <c r="AG4" s="9">
        <v>2022</v>
      </c>
      <c r="AH4" s="9">
        <v>2023</v>
      </c>
      <c r="AI4" s="9">
        <v>2024</v>
      </c>
      <c r="AJ4" s="9">
        <v>2025</v>
      </c>
      <c r="AK4" s="9">
        <v>2026</v>
      </c>
    </row>
    <row r="5" ht="15" customHeight="1" spans="1:37">
      <c r="A5" s="10" t="s">
        <v>14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24"/>
    </row>
    <row r="6" spans="1:37">
      <c r="A6" s="12" t="s">
        <v>15</v>
      </c>
      <c r="B6" s="13">
        <v>109</v>
      </c>
      <c r="C6" s="13">
        <v>311.1</v>
      </c>
      <c r="D6" s="13">
        <v>116.31</v>
      </c>
      <c r="E6" s="13">
        <v>110.7</v>
      </c>
      <c r="F6" s="13">
        <v>111.97</v>
      </c>
      <c r="G6" s="13">
        <v>102.69</v>
      </c>
      <c r="H6" s="13">
        <v>100.99</v>
      </c>
      <c r="I6" s="13">
        <v>100.54</v>
      </c>
      <c r="J6" s="13">
        <v>106.16</v>
      </c>
      <c r="K6" s="13">
        <v>102.17</v>
      </c>
      <c r="L6" s="13">
        <v>101.35</v>
      </c>
      <c r="M6" s="13">
        <v>101.23</v>
      </c>
      <c r="N6" s="13">
        <v>101.08</v>
      </c>
      <c r="O6" s="13">
        <v>100.51</v>
      </c>
      <c r="P6" s="13">
        <v>100.37</v>
      </c>
      <c r="Q6" s="13">
        <v>100.41</v>
      </c>
      <c r="R6" s="13">
        <v>100.4</v>
      </c>
      <c r="S6" s="13">
        <v>100.62</v>
      </c>
      <c r="T6" s="13">
        <v>100.72</v>
      </c>
      <c r="U6" s="13">
        <v>100.23</v>
      </c>
      <c r="V6" s="13">
        <v>100.87</v>
      </c>
      <c r="W6" s="13">
        <v>100.44</v>
      </c>
      <c r="X6" s="13">
        <v>100.42</v>
      </c>
      <c r="Y6" s="13">
        <v>100.27</v>
      </c>
      <c r="Z6" s="13">
        <v>103.2</v>
      </c>
      <c r="AA6" s="13">
        <v>100.67</v>
      </c>
      <c r="AB6" s="21">
        <v>100.47</v>
      </c>
      <c r="AC6" s="13">
        <v>100.3</v>
      </c>
      <c r="AD6" s="22">
        <v>100.64</v>
      </c>
      <c r="AE6" s="22">
        <v>100.23</v>
      </c>
      <c r="AF6" s="22">
        <v>100.53</v>
      </c>
      <c r="AG6" s="22">
        <v>100.67</v>
      </c>
      <c r="AH6" s="22">
        <v>100.21</v>
      </c>
      <c r="AI6" s="22">
        <v>100.47</v>
      </c>
      <c r="AJ6" s="22">
        <v>100.42</v>
      </c>
      <c r="AK6" s="22">
        <v>100.61</v>
      </c>
    </row>
    <row r="7" spans="1:37">
      <c r="A7" s="12" t="s">
        <v>16</v>
      </c>
      <c r="B7" s="13">
        <v>105.9</v>
      </c>
      <c r="C7" s="13">
        <v>147.6</v>
      </c>
      <c r="D7" s="13">
        <v>122.81</v>
      </c>
      <c r="E7" s="13">
        <v>108.92</v>
      </c>
      <c r="F7" s="13">
        <v>109.79</v>
      </c>
      <c r="G7" s="13">
        <v>102.2</v>
      </c>
      <c r="H7" s="13">
        <v>100.59</v>
      </c>
      <c r="I7" s="13">
        <v>100.28</v>
      </c>
      <c r="J7" s="13">
        <v>104.01</v>
      </c>
      <c r="K7" s="13">
        <v>101.32</v>
      </c>
      <c r="L7" s="13">
        <v>101.34</v>
      </c>
      <c r="M7" s="13">
        <v>100.77</v>
      </c>
      <c r="N7" s="13">
        <v>100.88</v>
      </c>
      <c r="O7" s="13">
        <v>100.42</v>
      </c>
      <c r="P7" s="13">
        <v>100.35</v>
      </c>
      <c r="Q7" s="13">
        <v>100.45</v>
      </c>
      <c r="R7" s="13">
        <v>100.33</v>
      </c>
      <c r="S7" s="13">
        <v>100.59</v>
      </c>
      <c r="T7" s="13">
        <v>101.6</v>
      </c>
      <c r="U7" s="13">
        <v>100.3</v>
      </c>
      <c r="V7" s="13">
        <v>100.32</v>
      </c>
      <c r="W7" s="13">
        <v>100.33</v>
      </c>
      <c r="X7" s="13">
        <v>100.44</v>
      </c>
      <c r="Y7" s="13">
        <v>100.41</v>
      </c>
      <c r="Z7" s="13">
        <v>102.06</v>
      </c>
      <c r="AA7" s="13">
        <v>100.78</v>
      </c>
      <c r="AB7" s="21">
        <v>100.2</v>
      </c>
      <c r="AC7" s="13">
        <v>100.13</v>
      </c>
      <c r="AD7" s="22">
        <v>100.26</v>
      </c>
      <c r="AE7" s="22">
        <v>100.04</v>
      </c>
      <c r="AF7" s="22">
        <v>100.58</v>
      </c>
      <c r="AG7" s="22">
        <v>100.78</v>
      </c>
      <c r="AH7" s="22">
        <v>99.92</v>
      </c>
      <c r="AI7" s="22">
        <v>100.26</v>
      </c>
      <c r="AJ7" s="22">
        <v>100.26</v>
      </c>
      <c r="AK7" s="22">
        <v>100.28</v>
      </c>
    </row>
    <row r="8" spans="1:37">
      <c r="A8" s="12" t="s">
        <v>17</v>
      </c>
      <c r="B8" s="13">
        <v>104.6</v>
      </c>
      <c r="C8" s="13">
        <v>141.9</v>
      </c>
      <c r="D8" s="13">
        <v>120.62</v>
      </c>
      <c r="E8" s="13">
        <v>107.7</v>
      </c>
      <c r="F8" s="13">
        <v>109.17</v>
      </c>
      <c r="G8" s="13">
        <v>101.86</v>
      </c>
      <c r="H8" s="13">
        <v>100.82</v>
      </c>
      <c r="I8" s="13">
        <v>100.21</v>
      </c>
      <c r="J8" s="13">
        <v>103.2</v>
      </c>
      <c r="K8" s="13">
        <v>101.38</v>
      </c>
      <c r="L8" s="13">
        <v>101.25</v>
      </c>
      <c r="M8" s="13">
        <v>100.68</v>
      </c>
      <c r="N8" s="13">
        <v>100.81</v>
      </c>
      <c r="O8" s="13">
        <v>100.44</v>
      </c>
      <c r="P8" s="13">
        <v>100.39</v>
      </c>
      <c r="Q8" s="13">
        <v>100.42</v>
      </c>
      <c r="R8" s="13">
        <v>100.38</v>
      </c>
      <c r="S8" s="13">
        <v>100.74</v>
      </c>
      <c r="T8" s="13">
        <v>101.43</v>
      </c>
      <c r="U8" s="13">
        <v>100.39</v>
      </c>
      <c r="V8" s="13">
        <v>100.49</v>
      </c>
      <c r="W8" s="13">
        <v>100.46</v>
      </c>
      <c r="X8" s="13">
        <v>100.4</v>
      </c>
      <c r="Y8" s="13">
        <v>100.68</v>
      </c>
      <c r="Z8" s="13">
        <v>101.43</v>
      </c>
      <c r="AA8" s="13">
        <v>100.81</v>
      </c>
      <c r="AB8" s="21">
        <v>100.22</v>
      </c>
      <c r="AC8" s="13">
        <v>100.16</v>
      </c>
      <c r="AD8" s="22">
        <v>100.25</v>
      </c>
      <c r="AE8" s="22">
        <v>100.48</v>
      </c>
      <c r="AF8" s="22">
        <v>100.72</v>
      </c>
      <c r="AG8" s="22">
        <v>111.25</v>
      </c>
      <c r="AH8" s="22">
        <v>100.14</v>
      </c>
      <c r="AI8" s="22">
        <v>100.27</v>
      </c>
      <c r="AJ8" s="22">
        <v>100.14</v>
      </c>
      <c r="AK8" s="22">
        <v>100.47</v>
      </c>
    </row>
    <row r="9" spans="1:37">
      <c r="A9" s="12" t="s">
        <v>18</v>
      </c>
      <c r="B9" s="13">
        <v>170.5</v>
      </c>
      <c r="C9" s="13">
        <v>125.4</v>
      </c>
      <c r="D9" s="13">
        <v>117.82</v>
      </c>
      <c r="E9" s="13">
        <v>107.22</v>
      </c>
      <c r="F9" s="13">
        <v>108.72</v>
      </c>
      <c r="G9" s="13">
        <v>101.37</v>
      </c>
      <c r="H9" s="13">
        <v>100.53</v>
      </c>
      <c r="I9" s="13">
        <v>100.17</v>
      </c>
      <c r="J9" s="13">
        <v>104.03</v>
      </c>
      <c r="K9" s="13">
        <v>101.49</v>
      </c>
      <c r="L9" s="13">
        <v>100.87</v>
      </c>
      <c r="M9" s="13">
        <v>100.77</v>
      </c>
      <c r="N9" s="13">
        <v>100.63</v>
      </c>
      <c r="O9" s="13">
        <v>100.58</v>
      </c>
      <c r="P9" s="13">
        <v>100.51</v>
      </c>
      <c r="Q9" s="13">
        <v>100.28</v>
      </c>
      <c r="R9" s="13">
        <v>100.4</v>
      </c>
      <c r="S9" s="13">
        <v>100.88</v>
      </c>
      <c r="T9" s="13">
        <v>100.99</v>
      </c>
      <c r="U9" s="13">
        <v>100.34</v>
      </c>
      <c r="V9" s="13">
        <v>100.48</v>
      </c>
      <c r="W9" s="13">
        <v>100.41</v>
      </c>
      <c r="X9" s="13">
        <v>100.35</v>
      </c>
      <c r="Y9" s="13">
        <v>100.64</v>
      </c>
      <c r="Z9" s="13">
        <v>100.88</v>
      </c>
      <c r="AA9" s="13">
        <v>100.6</v>
      </c>
      <c r="AB9" s="21">
        <v>100.17</v>
      </c>
      <c r="AC9" s="13">
        <v>100.37</v>
      </c>
      <c r="AD9" s="22">
        <v>100.19</v>
      </c>
      <c r="AE9" s="22">
        <v>100.44</v>
      </c>
      <c r="AF9" s="22">
        <v>100.66</v>
      </c>
      <c r="AG9" s="22">
        <v>100.53</v>
      </c>
      <c r="AH9" s="22">
        <v>100.15</v>
      </c>
      <c r="AI9" s="22">
        <v>100.41</v>
      </c>
      <c r="AJ9" s="22">
        <v>99.93</v>
      </c>
      <c r="AK9" s="22"/>
    </row>
    <row r="10" spans="1:37">
      <c r="A10" s="12" t="s">
        <v>19</v>
      </c>
      <c r="B10" s="13">
        <v>105.4</v>
      </c>
      <c r="C10" s="13">
        <v>111.8</v>
      </c>
      <c r="D10" s="13">
        <v>115.47</v>
      </c>
      <c r="E10" s="13">
        <v>105.45</v>
      </c>
      <c r="F10" s="13">
        <v>105.56</v>
      </c>
      <c r="G10" s="13">
        <v>101.18</v>
      </c>
      <c r="H10" s="13">
        <v>100.57</v>
      </c>
      <c r="I10" s="13">
        <v>100.08</v>
      </c>
      <c r="J10" s="13">
        <v>102.71</v>
      </c>
      <c r="K10" s="13">
        <v>101.09</v>
      </c>
      <c r="L10" s="13">
        <v>100.87</v>
      </c>
      <c r="M10" s="13">
        <v>101.19</v>
      </c>
      <c r="N10" s="13">
        <v>100.58</v>
      </c>
      <c r="O10" s="13">
        <v>100.77</v>
      </c>
      <c r="P10" s="13">
        <v>100.43</v>
      </c>
      <c r="Q10" s="13">
        <v>100.41</v>
      </c>
      <c r="R10" s="13">
        <v>100.35</v>
      </c>
      <c r="S10" s="13">
        <v>100.79</v>
      </c>
      <c r="T10" s="13">
        <v>100.65</v>
      </c>
      <c r="U10" s="13">
        <v>100.42</v>
      </c>
      <c r="V10" s="13">
        <v>100.82</v>
      </c>
      <c r="W10" s="13">
        <v>100.38</v>
      </c>
      <c r="X10" s="13">
        <v>100.25</v>
      </c>
      <c r="Y10" s="13">
        <v>100.46</v>
      </c>
      <c r="Z10" s="13">
        <v>100.54</v>
      </c>
      <c r="AA10" s="13">
        <v>100.42</v>
      </c>
      <c r="AB10" s="21">
        <v>100.15</v>
      </c>
      <c r="AC10" s="13">
        <v>100.88</v>
      </c>
      <c r="AD10" s="22">
        <v>100.21</v>
      </c>
      <c r="AE10" s="22">
        <v>100.25</v>
      </c>
      <c r="AF10" s="22">
        <v>100.74</v>
      </c>
      <c r="AG10" s="22">
        <v>99.91</v>
      </c>
      <c r="AH10" s="22">
        <v>100.34</v>
      </c>
      <c r="AI10" s="22">
        <v>100.46</v>
      </c>
      <c r="AJ10" s="22">
        <v>99.87</v>
      </c>
      <c r="AK10" s="22"/>
    </row>
    <row r="11" spans="1:37">
      <c r="A11" s="12" t="s">
        <v>20</v>
      </c>
      <c r="B11" s="13">
        <v>102.2</v>
      </c>
      <c r="C11" s="13">
        <v>112.1</v>
      </c>
      <c r="D11" s="13">
        <v>116.45</v>
      </c>
      <c r="E11" s="13">
        <v>105</v>
      </c>
      <c r="F11" s="13">
        <v>104.58</v>
      </c>
      <c r="G11" s="13">
        <v>101.12</v>
      </c>
      <c r="H11" s="13">
        <v>100.45</v>
      </c>
      <c r="I11" s="13">
        <v>99.99</v>
      </c>
      <c r="J11" s="13">
        <v>101.62</v>
      </c>
      <c r="K11" s="13">
        <v>100.83</v>
      </c>
      <c r="L11" s="13">
        <v>100.59</v>
      </c>
      <c r="M11" s="13">
        <v>101.13</v>
      </c>
      <c r="N11" s="13">
        <v>100.54</v>
      </c>
      <c r="O11" s="13">
        <v>100.67</v>
      </c>
      <c r="P11" s="13">
        <v>100.31</v>
      </c>
      <c r="Q11" s="13">
        <v>100.34</v>
      </c>
      <c r="R11" s="13">
        <v>100.3</v>
      </c>
      <c r="S11" s="13">
        <v>100.74</v>
      </c>
      <c r="T11" s="13">
        <v>100.78</v>
      </c>
      <c r="U11" s="13">
        <v>100.21</v>
      </c>
      <c r="V11" s="13">
        <v>100.42</v>
      </c>
      <c r="W11" s="13">
        <v>100.23</v>
      </c>
      <c r="X11" s="13">
        <v>100.2</v>
      </c>
      <c r="Y11" s="13">
        <v>100.37</v>
      </c>
      <c r="Z11" s="13">
        <v>100.33</v>
      </c>
      <c r="AA11" s="13">
        <v>100.46</v>
      </c>
      <c r="AB11" s="21">
        <v>100.11</v>
      </c>
      <c r="AC11" s="13">
        <v>100.41</v>
      </c>
      <c r="AD11" s="22">
        <v>100.17</v>
      </c>
      <c r="AE11" s="22">
        <v>100.34</v>
      </c>
      <c r="AF11" s="22">
        <v>100.68</v>
      </c>
      <c r="AG11" s="22">
        <v>99.59</v>
      </c>
      <c r="AH11" s="22">
        <v>100.42</v>
      </c>
      <c r="AI11" s="22">
        <v>100.29</v>
      </c>
      <c r="AJ11" s="22">
        <v>99.97</v>
      </c>
      <c r="AK11" s="22"/>
    </row>
    <row r="12" spans="1:37">
      <c r="A12" s="12" t="s">
        <v>21</v>
      </c>
      <c r="B12" s="13">
        <v>102.8</v>
      </c>
      <c r="C12" s="13">
        <v>109.8</v>
      </c>
      <c r="D12" s="13">
        <v>119.22</v>
      </c>
      <c r="E12" s="13">
        <v>105</v>
      </c>
      <c r="F12" s="13">
        <v>105.29</v>
      </c>
      <c r="G12" s="13">
        <v>100.91</v>
      </c>
      <c r="H12" s="13">
        <v>100.38</v>
      </c>
      <c r="I12" s="13">
        <v>100.07</v>
      </c>
      <c r="J12" s="13">
        <v>101.9</v>
      </c>
      <c r="K12" s="13">
        <v>100.84</v>
      </c>
      <c r="L12" s="13">
        <v>100.53</v>
      </c>
      <c r="M12" s="13">
        <v>100.57</v>
      </c>
      <c r="N12" s="13">
        <v>100.47</v>
      </c>
      <c r="O12" s="13">
        <v>100.56</v>
      </c>
      <c r="P12" s="13">
        <v>100.43</v>
      </c>
      <c r="Q12" s="13">
        <v>100.4</v>
      </c>
      <c r="R12" s="13">
        <v>100.37</v>
      </c>
      <c r="S12" s="13">
        <v>100.69</v>
      </c>
      <c r="T12" s="13">
        <v>100.6</v>
      </c>
      <c r="U12" s="13">
        <v>100.26</v>
      </c>
      <c r="V12" s="13">
        <v>100.29</v>
      </c>
      <c r="W12" s="13">
        <v>100.32</v>
      </c>
      <c r="X12" s="13">
        <v>100.14</v>
      </c>
      <c r="Y12" s="13">
        <v>100.4</v>
      </c>
      <c r="Z12" s="13">
        <v>100.45</v>
      </c>
      <c r="AA12" s="13">
        <v>100.37</v>
      </c>
      <c r="AB12" s="21">
        <v>100.08</v>
      </c>
      <c r="AC12" s="13">
        <v>100.12</v>
      </c>
      <c r="AD12" s="22">
        <v>100.17</v>
      </c>
      <c r="AE12" s="22">
        <v>100.29</v>
      </c>
      <c r="AF12" s="22">
        <v>100.77</v>
      </c>
      <c r="AG12" s="22">
        <v>99.56</v>
      </c>
      <c r="AH12" s="22">
        <v>100.91</v>
      </c>
      <c r="AI12" s="22">
        <v>100.58</v>
      </c>
      <c r="AJ12" s="22">
        <v>100.19</v>
      </c>
      <c r="AK12" s="22"/>
    </row>
    <row r="13" spans="1:37">
      <c r="A13" s="12" t="s">
        <v>22</v>
      </c>
      <c r="B13" s="13">
        <v>104.1</v>
      </c>
      <c r="C13" s="13">
        <v>110.3</v>
      </c>
      <c r="D13" s="13">
        <v>121.02</v>
      </c>
      <c r="E13" s="13">
        <v>105.6</v>
      </c>
      <c r="F13" s="13">
        <v>106.24</v>
      </c>
      <c r="G13" s="13">
        <v>101.13</v>
      </c>
      <c r="H13" s="13">
        <v>100.55</v>
      </c>
      <c r="I13" s="13">
        <v>107.14</v>
      </c>
      <c r="J13" s="13">
        <v>102.39</v>
      </c>
      <c r="K13" s="13">
        <v>101.38</v>
      </c>
      <c r="L13" s="13">
        <v>100.79</v>
      </c>
      <c r="M13" s="13">
        <v>100.68</v>
      </c>
      <c r="N13" s="13">
        <v>100.58</v>
      </c>
      <c r="O13" s="13">
        <v>100.52</v>
      </c>
      <c r="P13" s="13">
        <v>100.53</v>
      </c>
      <c r="Q13" s="13">
        <v>100.76</v>
      </c>
      <c r="R13" s="13">
        <v>100.6</v>
      </c>
      <c r="S13" s="13">
        <v>100.57</v>
      </c>
      <c r="T13" s="13">
        <v>100.63</v>
      </c>
      <c r="U13" s="13">
        <v>100.37</v>
      </c>
      <c r="V13" s="13">
        <v>100.53</v>
      </c>
      <c r="W13" s="13">
        <v>100.4</v>
      </c>
      <c r="X13" s="13">
        <v>100.53</v>
      </c>
      <c r="Y13" s="13">
        <v>100.47</v>
      </c>
      <c r="Z13" s="13">
        <v>100.75</v>
      </c>
      <c r="AA13" s="13">
        <v>100.41</v>
      </c>
      <c r="AB13" s="21">
        <v>100.14</v>
      </c>
      <c r="AC13" s="13">
        <v>100.22</v>
      </c>
      <c r="AD13" s="22">
        <v>100.17</v>
      </c>
      <c r="AE13" s="22">
        <v>100.41</v>
      </c>
      <c r="AF13" s="13">
        <v>100.8</v>
      </c>
      <c r="AG13" s="22">
        <v>99.95</v>
      </c>
      <c r="AH13" s="22">
        <v>101.14</v>
      </c>
      <c r="AI13" s="13">
        <v>100.6</v>
      </c>
      <c r="AJ13" s="22">
        <v>100.42</v>
      </c>
      <c r="AK13" s="22"/>
    </row>
    <row r="14" spans="1:37">
      <c r="A14" s="12" t="s">
        <v>23</v>
      </c>
      <c r="B14" s="13">
        <v>103.9</v>
      </c>
      <c r="C14" s="13">
        <v>112.8</v>
      </c>
      <c r="D14" s="13">
        <v>122.32</v>
      </c>
      <c r="E14" s="13">
        <v>107.4</v>
      </c>
      <c r="F14" s="13">
        <v>106.04</v>
      </c>
      <c r="G14" s="13">
        <v>101.17</v>
      </c>
      <c r="H14" s="13">
        <v>100.82</v>
      </c>
      <c r="I14" s="13">
        <v>154.3</v>
      </c>
      <c r="J14" s="13">
        <v>102.74</v>
      </c>
      <c r="K14" s="13">
        <v>102.05</v>
      </c>
      <c r="L14" s="13">
        <v>101.16</v>
      </c>
      <c r="M14" s="13">
        <v>100.87</v>
      </c>
      <c r="N14" s="13">
        <v>100.87</v>
      </c>
      <c r="O14" s="13">
        <v>100.87</v>
      </c>
      <c r="P14" s="13">
        <v>101.09</v>
      </c>
      <c r="Q14" s="13">
        <v>100.76</v>
      </c>
      <c r="R14" s="13">
        <v>100.77</v>
      </c>
      <c r="S14" s="13">
        <v>100.67</v>
      </c>
      <c r="T14" s="13">
        <v>100.66</v>
      </c>
      <c r="U14" s="13">
        <v>100.58</v>
      </c>
      <c r="V14" s="13">
        <v>100.66</v>
      </c>
      <c r="W14" s="13">
        <v>100.68</v>
      </c>
      <c r="X14" s="13">
        <v>100.52</v>
      </c>
      <c r="Y14" s="13">
        <v>100.55</v>
      </c>
      <c r="Z14" s="13">
        <v>101.09</v>
      </c>
      <c r="AA14" s="13">
        <v>100.56</v>
      </c>
      <c r="AB14" s="21">
        <v>100.25</v>
      </c>
      <c r="AC14" s="13">
        <v>100.36</v>
      </c>
      <c r="AD14" s="22">
        <v>100.19</v>
      </c>
      <c r="AE14" s="22">
        <v>100.56</v>
      </c>
      <c r="AF14" s="22">
        <v>100.64</v>
      </c>
      <c r="AG14" s="22">
        <v>100.15</v>
      </c>
      <c r="AH14" s="22">
        <v>101.09</v>
      </c>
      <c r="AI14" s="22">
        <v>100.62</v>
      </c>
      <c r="AJ14" s="22">
        <v>100.59</v>
      </c>
      <c r="AK14" s="22"/>
    </row>
    <row r="15" spans="1:37">
      <c r="A15" s="12" t="s">
        <v>24</v>
      </c>
      <c r="B15" s="13">
        <v>105</v>
      </c>
      <c r="C15" s="13">
        <v>119.9</v>
      </c>
      <c r="D15" s="13">
        <v>119.33</v>
      </c>
      <c r="E15" s="13">
        <v>116.4</v>
      </c>
      <c r="F15" s="13">
        <v>105.05</v>
      </c>
      <c r="G15" s="13">
        <v>101.23</v>
      </c>
      <c r="H15" s="13">
        <v>100.85</v>
      </c>
      <c r="I15" s="13">
        <v>107.43</v>
      </c>
      <c r="J15" s="13">
        <v>102.16</v>
      </c>
      <c r="K15" s="13">
        <v>101.89</v>
      </c>
      <c r="L15" s="13">
        <v>101.31</v>
      </c>
      <c r="M15" s="13">
        <v>100.91</v>
      </c>
      <c r="N15" s="13">
        <v>100.96</v>
      </c>
      <c r="O15" s="13">
        <v>100.74</v>
      </c>
      <c r="P15" s="13">
        <v>100.71</v>
      </c>
      <c r="Q15" s="13">
        <v>100.61</v>
      </c>
      <c r="R15" s="13">
        <v>100.86</v>
      </c>
      <c r="S15" s="13">
        <v>100.81</v>
      </c>
      <c r="T15" s="13">
        <v>100.57</v>
      </c>
      <c r="U15" s="13">
        <v>100.63</v>
      </c>
      <c r="V15" s="13">
        <v>100.71</v>
      </c>
      <c r="W15" s="13">
        <v>100.68</v>
      </c>
      <c r="X15" s="13">
        <v>100.49</v>
      </c>
      <c r="Y15" s="13">
        <v>100.64</v>
      </c>
      <c r="Z15" s="13">
        <v>101</v>
      </c>
      <c r="AA15" s="13">
        <v>100.54</v>
      </c>
      <c r="AB15" s="21">
        <v>100.3</v>
      </c>
      <c r="AC15" s="13">
        <v>100.45</v>
      </c>
      <c r="AD15" s="22">
        <v>100.31</v>
      </c>
      <c r="AE15" s="22">
        <v>100.68</v>
      </c>
      <c r="AF15" s="22">
        <v>100.78</v>
      </c>
      <c r="AG15" s="22">
        <v>100.04</v>
      </c>
      <c r="AH15" s="22">
        <v>100.55</v>
      </c>
      <c r="AI15" s="22">
        <v>100.68</v>
      </c>
      <c r="AJ15" s="22">
        <v>100.67</v>
      </c>
      <c r="AK15" s="22"/>
    </row>
    <row r="16" spans="1:37">
      <c r="A16" s="12" t="s">
        <v>25</v>
      </c>
      <c r="B16" s="13">
        <v>108.6</v>
      </c>
      <c r="C16" s="13">
        <v>125.6</v>
      </c>
      <c r="D16" s="13">
        <v>115.62</v>
      </c>
      <c r="E16" s="13">
        <v>112.5</v>
      </c>
      <c r="F16" s="13">
        <v>104.63</v>
      </c>
      <c r="G16" s="13">
        <v>100.93</v>
      </c>
      <c r="H16" s="13">
        <v>100.68</v>
      </c>
      <c r="I16" s="13">
        <v>104.31</v>
      </c>
      <c r="J16" s="13">
        <v>101.53</v>
      </c>
      <c r="K16" s="13">
        <v>101.47</v>
      </c>
      <c r="L16" s="13">
        <v>101.06</v>
      </c>
      <c r="M16" s="13">
        <v>100.86</v>
      </c>
      <c r="N16" s="13">
        <v>100.84</v>
      </c>
      <c r="O16" s="13">
        <v>100.67</v>
      </c>
      <c r="P16" s="13">
        <v>100.63</v>
      </c>
      <c r="Q16" s="13">
        <v>100.56</v>
      </c>
      <c r="R16" s="13">
        <v>100.86</v>
      </c>
      <c r="S16" s="13">
        <v>100.47</v>
      </c>
      <c r="T16" s="13">
        <v>100.42</v>
      </c>
      <c r="U16" s="13">
        <v>100.65</v>
      </c>
      <c r="V16" s="13">
        <v>100.55</v>
      </c>
      <c r="W16" s="13">
        <v>100.44</v>
      </c>
      <c r="X16" s="13">
        <v>100.43</v>
      </c>
      <c r="Y16" s="13">
        <v>100.64</v>
      </c>
      <c r="Z16" s="13">
        <v>100.73</v>
      </c>
      <c r="AA16" s="13">
        <v>100.43</v>
      </c>
      <c r="AB16" s="21">
        <v>100.32</v>
      </c>
      <c r="AC16" s="13">
        <v>100.39</v>
      </c>
      <c r="AD16" s="22">
        <v>100.23</v>
      </c>
      <c r="AE16" s="22">
        <v>100.58</v>
      </c>
      <c r="AF16" s="22">
        <v>100.72</v>
      </c>
      <c r="AG16" s="22">
        <v>100.06</v>
      </c>
      <c r="AH16" s="22">
        <v>100.53</v>
      </c>
      <c r="AI16" s="22">
        <v>100.51</v>
      </c>
      <c r="AJ16" s="22">
        <v>100.16</v>
      </c>
      <c r="AK16" s="22"/>
    </row>
    <row r="17" spans="1:37">
      <c r="A17" s="12" t="s">
        <v>26</v>
      </c>
      <c r="B17" s="13">
        <v>110.5</v>
      </c>
      <c r="C17" s="13">
        <v>126.9</v>
      </c>
      <c r="D17" s="13">
        <v>111.61</v>
      </c>
      <c r="E17" s="13">
        <v>111.9</v>
      </c>
      <c r="F17" s="13">
        <v>103.01</v>
      </c>
      <c r="G17" s="13">
        <v>100.72</v>
      </c>
      <c r="H17" s="13">
        <v>100.61</v>
      </c>
      <c r="I17" s="13">
        <v>106.28</v>
      </c>
      <c r="J17" s="13">
        <v>101.14</v>
      </c>
      <c r="K17" s="13">
        <v>101.18</v>
      </c>
      <c r="L17" s="13">
        <v>100.92</v>
      </c>
      <c r="M17" s="13">
        <v>100.67</v>
      </c>
      <c r="N17" s="13">
        <v>100.59</v>
      </c>
      <c r="O17" s="13">
        <v>100.38</v>
      </c>
      <c r="P17" s="13">
        <v>100.48</v>
      </c>
      <c r="Q17" s="13">
        <v>100.45</v>
      </c>
      <c r="R17" s="13">
        <v>100.74</v>
      </c>
      <c r="S17" s="13">
        <v>100.12</v>
      </c>
      <c r="T17" s="13">
        <v>100.21</v>
      </c>
      <c r="U17" s="13">
        <v>100.48</v>
      </c>
      <c r="V17" s="13">
        <v>100.31</v>
      </c>
      <c r="W17" s="13">
        <v>100.27</v>
      </c>
      <c r="X17" s="13">
        <v>100.22</v>
      </c>
      <c r="Y17" s="13">
        <v>102.25</v>
      </c>
      <c r="Z17" s="13">
        <v>100.43</v>
      </c>
      <c r="AA17" s="13">
        <v>100.3</v>
      </c>
      <c r="AB17" s="21">
        <v>100.31</v>
      </c>
      <c r="AC17" s="13">
        <v>100.24</v>
      </c>
      <c r="AD17" s="22">
        <v>100.14</v>
      </c>
      <c r="AE17" s="13">
        <v>100.4</v>
      </c>
      <c r="AF17" s="22">
        <v>100.64</v>
      </c>
      <c r="AG17" s="22">
        <v>100.05</v>
      </c>
      <c r="AH17" s="22">
        <v>100.42</v>
      </c>
      <c r="AI17" s="22">
        <v>100.81</v>
      </c>
      <c r="AJ17" s="22">
        <v>100.34</v>
      </c>
      <c r="AK17" s="22"/>
    </row>
    <row r="18" spans="1:37">
      <c r="A18" s="14" t="s">
        <v>27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25"/>
    </row>
    <row r="19" s="1" customFormat="1" spans="1:37">
      <c r="A19" s="16" t="s">
        <v>26</v>
      </c>
      <c r="B19" s="17">
        <v>310.7</v>
      </c>
      <c r="C19" s="17">
        <v>2673.44</v>
      </c>
      <c r="D19" s="17">
        <v>741.8</v>
      </c>
      <c r="E19" s="17">
        <v>269</v>
      </c>
      <c r="F19" s="17">
        <v>216.3</v>
      </c>
      <c r="G19" s="17">
        <v>117.82</v>
      </c>
      <c r="H19" s="17">
        <v>108.11</v>
      </c>
      <c r="I19" s="17">
        <v>199.54</v>
      </c>
      <c r="J19" s="17">
        <v>139.15</v>
      </c>
      <c r="K19" s="17">
        <v>118.49</v>
      </c>
      <c r="L19" s="17">
        <v>112.73</v>
      </c>
      <c r="M19" s="17">
        <v>110.85</v>
      </c>
      <c r="N19" s="17">
        <v>109.19</v>
      </c>
      <c r="O19" s="17">
        <v>107.37</v>
      </c>
      <c r="P19" s="17">
        <v>106.41</v>
      </c>
      <c r="Q19" s="17">
        <v>106.01</v>
      </c>
      <c r="R19" s="17">
        <v>106.54</v>
      </c>
      <c r="S19" s="17">
        <v>107.96</v>
      </c>
      <c r="T19" s="17">
        <v>109.65</v>
      </c>
      <c r="U19" s="17">
        <v>104.95</v>
      </c>
      <c r="V19" s="17">
        <v>106.65</v>
      </c>
      <c r="W19" s="17">
        <v>105.16</v>
      </c>
      <c r="X19" s="17">
        <v>104.46</v>
      </c>
      <c r="Y19" s="17">
        <v>108.05</v>
      </c>
      <c r="Z19" s="17">
        <v>113.65</v>
      </c>
      <c r="AA19" s="17">
        <v>106.54</v>
      </c>
      <c r="AB19" s="17">
        <v>102.75</v>
      </c>
      <c r="AC19" s="17">
        <v>104.1</v>
      </c>
      <c r="AD19" s="17">
        <v>102.95</v>
      </c>
      <c r="AE19" s="17">
        <v>104.79</v>
      </c>
      <c r="AF19" s="17">
        <v>108.58</v>
      </c>
      <c r="AG19" s="17">
        <v>112.7</v>
      </c>
      <c r="AH19" s="17">
        <v>105.96</v>
      </c>
      <c r="AI19" s="17">
        <v>106.12</v>
      </c>
      <c r="AJ19" s="17">
        <v>102.99</v>
      </c>
      <c r="AK19" s="17" t="s">
        <v>36</v>
      </c>
    </row>
    <row r="20" s="1" customFormat="1" ht="36.75" customHeight="1" spans="1:37">
      <c r="A20" s="18" t="s">
        <v>33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</row>
    <row r="22" spans="1:1">
      <c r="A22" s="19" t="s">
        <v>34</v>
      </c>
    </row>
  </sheetData>
  <mergeCells count="5">
    <mergeCell ref="A1:AK1"/>
    <mergeCell ref="A2:C2"/>
    <mergeCell ref="A5:AK5"/>
    <mergeCell ref="A18:AK18"/>
    <mergeCell ref="A20:AK20"/>
  </mergeCells>
  <hyperlinks>
    <hyperlink ref="A2" location="Содержание!A1" display="К содержанию"/>
  </hyperlinks>
  <pageMargins left="0.21" right="0.196850393700787" top="0.748031496062992" bottom="0.748031496062992" header="0.31496062992126" footer="0.31496062992126"/>
  <pageSetup paperSize="9" scale="95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22"/>
  <sheetViews>
    <sheetView workbookViewId="0">
      <selection activeCell="AD25" sqref="AD25"/>
    </sheetView>
  </sheetViews>
  <sheetFormatPr defaultColWidth="9.13888888888889" defaultRowHeight="14.4"/>
  <cols>
    <col min="1" max="1" width="7.85185185185185" style="2" customWidth="1"/>
    <col min="2" max="2" width="5.71296296296296" style="2" customWidth="1"/>
    <col min="3" max="3" width="7.28703703703704" style="2" customWidth="1"/>
    <col min="4" max="4" width="6.85185185185185" style="2" customWidth="1"/>
    <col min="5" max="25" width="5.71296296296296" style="2" customWidth="1"/>
    <col min="26" max="26" width="6" style="2" customWidth="1"/>
    <col min="27" max="37" width="6.71296296296296" style="2" customWidth="1"/>
    <col min="38" max="16384" width="9.13888888888889" style="2"/>
  </cols>
  <sheetData>
    <row r="1" ht="21" spans="1:37">
      <c r="A1" s="3" t="s">
        <v>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ht="12.75" customHeight="1" spans="1:27">
      <c r="A2" s="4" t="s">
        <v>12</v>
      </c>
      <c r="B2" s="4"/>
      <c r="C2" s="4"/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3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AA3" s="20"/>
      <c r="AB3" s="20"/>
      <c r="AC3" s="20"/>
      <c r="AD3" s="20"/>
      <c r="AE3" s="20"/>
      <c r="AI3" s="20" t="s">
        <v>13</v>
      </c>
    </row>
    <row r="4" spans="1:37">
      <c r="A4" s="8"/>
      <c r="B4" s="9">
        <v>1991</v>
      </c>
      <c r="C4" s="9">
        <v>1992</v>
      </c>
      <c r="D4" s="9">
        <v>1993</v>
      </c>
      <c r="E4" s="9">
        <v>1994</v>
      </c>
      <c r="F4" s="9">
        <v>1995</v>
      </c>
      <c r="G4" s="9">
        <v>1996</v>
      </c>
      <c r="H4" s="9">
        <v>1997</v>
      </c>
      <c r="I4" s="9">
        <v>1998</v>
      </c>
      <c r="J4" s="9">
        <v>1999</v>
      </c>
      <c r="K4" s="9">
        <v>2000</v>
      </c>
      <c r="L4" s="9">
        <v>2001</v>
      </c>
      <c r="M4" s="9">
        <v>2002</v>
      </c>
      <c r="N4" s="9">
        <v>2003</v>
      </c>
      <c r="O4" s="9">
        <v>2004</v>
      </c>
      <c r="P4" s="9">
        <v>2005</v>
      </c>
      <c r="Q4" s="9">
        <v>2006</v>
      </c>
      <c r="R4" s="9">
        <v>2007</v>
      </c>
      <c r="S4" s="9">
        <v>2008</v>
      </c>
      <c r="T4" s="9">
        <v>2009</v>
      </c>
      <c r="U4" s="9">
        <v>2010</v>
      </c>
      <c r="V4" s="9">
        <v>2011</v>
      </c>
      <c r="W4" s="9">
        <v>2012</v>
      </c>
      <c r="X4" s="9">
        <v>2013</v>
      </c>
      <c r="Y4" s="9">
        <v>2014</v>
      </c>
      <c r="Z4" s="9">
        <v>2015</v>
      </c>
      <c r="AA4" s="9">
        <v>2016</v>
      </c>
      <c r="AB4" s="9">
        <v>2017</v>
      </c>
      <c r="AC4" s="9">
        <v>2018</v>
      </c>
      <c r="AD4" s="9">
        <v>2019</v>
      </c>
      <c r="AE4" s="9">
        <v>2020</v>
      </c>
      <c r="AF4" s="9">
        <v>2021</v>
      </c>
      <c r="AG4" s="9">
        <v>2022</v>
      </c>
      <c r="AH4" s="9">
        <v>2023</v>
      </c>
      <c r="AI4" s="9">
        <v>2024</v>
      </c>
      <c r="AJ4" s="9">
        <v>2025</v>
      </c>
      <c r="AK4" s="9">
        <v>2026</v>
      </c>
    </row>
    <row r="5" ht="15" customHeight="1" spans="1:37">
      <c r="A5" s="10" t="s">
        <v>14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24"/>
    </row>
    <row r="6" spans="1:37">
      <c r="A6" s="12" t="s">
        <v>15</v>
      </c>
      <c r="B6" s="13">
        <v>103.2</v>
      </c>
      <c r="C6" s="13">
        <v>230</v>
      </c>
      <c r="D6" s="13">
        <v>150</v>
      </c>
      <c r="E6" s="13">
        <v>137.72</v>
      </c>
      <c r="F6" s="13">
        <v>122.68</v>
      </c>
      <c r="G6" s="13">
        <v>108.05</v>
      </c>
      <c r="H6" s="13">
        <v>102.34</v>
      </c>
      <c r="I6" s="13">
        <v>101.65</v>
      </c>
      <c r="J6" s="13">
        <v>104.13</v>
      </c>
      <c r="K6" s="13">
        <v>103.37</v>
      </c>
      <c r="L6" s="13">
        <v>104.63</v>
      </c>
      <c r="M6" s="13">
        <v>107.47</v>
      </c>
      <c r="N6" s="13">
        <v>104.42</v>
      </c>
      <c r="O6" s="13">
        <v>104.13</v>
      </c>
      <c r="P6" s="13">
        <v>108.78</v>
      </c>
      <c r="Q6" s="13">
        <v>106.17</v>
      </c>
      <c r="R6" s="13">
        <v>104.71</v>
      </c>
      <c r="S6" s="13">
        <v>105.4</v>
      </c>
      <c r="T6" s="13">
        <v>106.32</v>
      </c>
      <c r="U6" s="13">
        <v>103.94</v>
      </c>
      <c r="V6" s="13">
        <v>104.09</v>
      </c>
      <c r="W6" s="13">
        <v>100.2</v>
      </c>
      <c r="X6" s="13">
        <v>100.64</v>
      </c>
      <c r="Y6" s="13">
        <v>100.47</v>
      </c>
      <c r="Z6" s="13">
        <v>102.16</v>
      </c>
      <c r="AA6" s="13">
        <v>101.03</v>
      </c>
      <c r="AB6" s="21">
        <v>100.51</v>
      </c>
      <c r="AC6" s="13">
        <v>100.08</v>
      </c>
      <c r="AD6" s="22">
        <v>101.13</v>
      </c>
      <c r="AE6" s="22">
        <v>100.24</v>
      </c>
      <c r="AF6" s="22">
        <v>100.38</v>
      </c>
      <c r="AG6" s="22">
        <v>100.76</v>
      </c>
      <c r="AH6" s="22">
        <v>101.01</v>
      </c>
      <c r="AI6" s="22">
        <v>100.78</v>
      </c>
      <c r="AJ6" s="22">
        <v>102.07</v>
      </c>
      <c r="AK6" s="22">
        <v>102.33</v>
      </c>
    </row>
    <row r="7" spans="1:37">
      <c r="A7" s="12" t="s">
        <v>16</v>
      </c>
      <c r="B7" s="13">
        <v>105.2</v>
      </c>
      <c r="C7" s="13">
        <v>140</v>
      </c>
      <c r="D7" s="13">
        <v>132</v>
      </c>
      <c r="E7" s="13">
        <v>121.52</v>
      </c>
      <c r="F7" s="13">
        <v>119.34</v>
      </c>
      <c r="G7" s="13">
        <v>105.64</v>
      </c>
      <c r="H7" s="13">
        <v>103.59</v>
      </c>
      <c r="I7" s="13">
        <v>101.04</v>
      </c>
      <c r="J7" s="13">
        <v>103.17</v>
      </c>
      <c r="K7" s="13">
        <v>102.97</v>
      </c>
      <c r="L7" s="13">
        <v>104.27</v>
      </c>
      <c r="M7" s="13">
        <v>102.73</v>
      </c>
      <c r="N7" s="13">
        <v>104.16</v>
      </c>
      <c r="O7" s="13">
        <v>101.63</v>
      </c>
      <c r="P7" s="13">
        <v>102.23</v>
      </c>
      <c r="Q7" s="13">
        <v>101.01</v>
      </c>
      <c r="R7" s="13">
        <v>102.6</v>
      </c>
      <c r="S7" s="13">
        <v>101.36</v>
      </c>
      <c r="T7" s="13">
        <v>101.42</v>
      </c>
      <c r="U7" s="13">
        <v>101.02</v>
      </c>
      <c r="V7" s="13">
        <v>100.75</v>
      </c>
      <c r="W7" s="13">
        <v>99.98</v>
      </c>
      <c r="X7" s="13">
        <v>100.36</v>
      </c>
      <c r="Y7" s="13">
        <v>100.43</v>
      </c>
      <c r="Z7" s="13">
        <v>100.83</v>
      </c>
      <c r="AA7" s="13">
        <v>100.34</v>
      </c>
      <c r="AB7" s="21">
        <v>100.28</v>
      </c>
      <c r="AC7" s="13">
        <v>100.12</v>
      </c>
      <c r="AD7" s="13">
        <v>100.2</v>
      </c>
      <c r="AE7" s="22">
        <v>100.37</v>
      </c>
      <c r="AF7" s="22">
        <v>100.44</v>
      </c>
      <c r="AG7" s="22">
        <v>101.13</v>
      </c>
      <c r="AH7" s="22">
        <v>100.72</v>
      </c>
      <c r="AI7" s="22">
        <v>101.06</v>
      </c>
      <c r="AJ7" s="22">
        <v>100.81</v>
      </c>
      <c r="AK7" s="13">
        <v>101.1</v>
      </c>
    </row>
    <row r="8" spans="1:37">
      <c r="A8" s="12" t="s">
        <v>17</v>
      </c>
      <c r="B8" s="13">
        <v>105.5</v>
      </c>
      <c r="C8" s="13">
        <v>118</v>
      </c>
      <c r="D8" s="13">
        <v>128.79</v>
      </c>
      <c r="E8" s="13">
        <v>116.82</v>
      </c>
      <c r="F8" s="13">
        <v>110.48</v>
      </c>
      <c r="G8" s="13">
        <v>104.3</v>
      </c>
      <c r="H8" s="13">
        <v>102.48</v>
      </c>
      <c r="I8" s="13">
        <v>101.23</v>
      </c>
      <c r="J8" s="13">
        <v>101.91</v>
      </c>
      <c r="K8" s="13">
        <v>101.45</v>
      </c>
      <c r="L8" s="13">
        <v>103.44</v>
      </c>
      <c r="M8" s="13">
        <v>103.7</v>
      </c>
      <c r="N8" s="13">
        <v>101.67</v>
      </c>
      <c r="O8" s="13">
        <v>100.56</v>
      </c>
      <c r="P8" s="13">
        <v>101.22</v>
      </c>
      <c r="Q8" s="13">
        <v>100.72</v>
      </c>
      <c r="R8" s="13">
        <v>100.57</v>
      </c>
      <c r="S8" s="13">
        <v>100.63</v>
      </c>
      <c r="T8" s="13">
        <v>100.58</v>
      </c>
      <c r="U8" s="13">
        <v>100.36</v>
      </c>
      <c r="V8" s="13">
        <v>100.33</v>
      </c>
      <c r="W8" s="13">
        <v>100.41</v>
      </c>
      <c r="X8" s="13">
        <v>100.15</v>
      </c>
      <c r="Y8" s="13">
        <v>100.46</v>
      </c>
      <c r="Z8" s="13">
        <v>100.31</v>
      </c>
      <c r="AA8" s="13">
        <v>100.06</v>
      </c>
      <c r="AB8" s="21">
        <v>100</v>
      </c>
      <c r="AC8" s="13">
        <v>100.12</v>
      </c>
      <c r="AD8" s="22">
        <v>100.13</v>
      </c>
      <c r="AE8" s="22">
        <v>100.09</v>
      </c>
      <c r="AF8" s="22">
        <v>100.37</v>
      </c>
      <c r="AG8" s="22">
        <v>103.99</v>
      </c>
      <c r="AH8" s="22">
        <v>100.97</v>
      </c>
      <c r="AI8" s="22">
        <v>100.83</v>
      </c>
      <c r="AJ8" s="22">
        <v>101.01</v>
      </c>
      <c r="AK8" s="22">
        <v>101.07</v>
      </c>
    </row>
    <row r="9" spans="1:37">
      <c r="A9" s="12" t="s">
        <v>18</v>
      </c>
      <c r="B9" s="13">
        <v>121.5</v>
      </c>
      <c r="C9" s="13">
        <v>131.2</v>
      </c>
      <c r="D9" s="13">
        <v>140</v>
      </c>
      <c r="E9" s="13">
        <v>131.82</v>
      </c>
      <c r="F9" s="13">
        <v>112.22</v>
      </c>
      <c r="G9" s="13">
        <v>105.01</v>
      </c>
      <c r="H9" s="13">
        <v>101.58</v>
      </c>
      <c r="I9" s="13">
        <v>100.98</v>
      </c>
      <c r="J9" s="13">
        <v>103.13</v>
      </c>
      <c r="K9" s="13">
        <v>102.14</v>
      </c>
      <c r="L9" s="13">
        <v>102.8</v>
      </c>
      <c r="M9" s="13">
        <v>102.4</v>
      </c>
      <c r="N9" s="13">
        <v>101.78</v>
      </c>
      <c r="O9" s="13">
        <v>101.99</v>
      </c>
      <c r="P9" s="13">
        <v>100.82</v>
      </c>
      <c r="Q9" s="13">
        <v>100.58</v>
      </c>
      <c r="R9" s="13">
        <v>100.51</v>
      </c>
      <c r="S9" s="13">
        <v>100.96</v>
      </c>
      <c r="T9" s="13">
        <v>100.26</v>
      </c>
      <c r="U9" s="13">
        <v>100.22</v>
      </c>
      <c r="V9" s="13">
        <v>100.48</v>
      </c>
      <c r="W9" s="13">
        <v>100.26</v>
      </c>
      <c r="X9" s="13">
        <v>100.46</v>
      </c>
      <c r="Y9" s="13">
        <v>100.71</v>
      </c>
      <c r="Z9" s="13">
        <v>100.02</v>
      </c>
      <c r="AA9" s="13">
        <v>100.25</v>
      </c>
      <c r="AB9" s="21">
        <v>100.16</v>
      </c>
      <c r="AC9" s="13">
        <v>100.32</v>
      </c>
      <c r="AD9" s="22">
        <v>100.21</v>
      </c>
      <c r="AE9" s="22">
        <v>100.12</v>
      </c>
      <c r="AF9" s="22">
        <v>100.22</v>
      </c>
      <c r="AG9" s="22">
        <v>101.07</v>
      </c>
      <c r="AH9" s="22">
        <v>100.79</v>
      </c>
      <c r="AI9" s="22">
        <v>100.62</v>
      </c>
      <c r="AJ9" s="22">
        <v>100.53</v>
      </c>
      <c r="AK9" s="22"/>
    </row>
    <row r="10" spans="1:37">
      <c r="A10" s="12" t="s">
        <v>19</v>
      </c>
      <c r="B10" s="13">
        <v>103.9</v>
      </c>
      <c r="C10" s="13">
        <v>117.8</v>
      </c>
      <c r="D10" s="13">
        <v>134.8</v>
      </c>
      <c r="E10" s="13">
        <v>112.72</v>
      </c>
      <c r="F10" s="13">
        <v>111.15</v>
      </c>
      <c r="G10" s="13">
        <v>102.16</v>
      </c>
      <c r="H10" s="13">
        <v>101.97</v>
      </c>
      <c r="I10" s="13">
        <v>101.05</v>
      </c>
      <c r="J10" s="13">
        <v>102.14</v>
      </c>
      <c r="K10" s="13">
        <v>101.34</v>
      </c>
      <c r="L10" s="13">
        <v>101.76</v>
      </c>
      <c r="M10" s="13">
        <v>100.97</v>
      </c>
      <c r="N10" s="13">
        <v>101.47</v>
      </c>
      <c r="O10" s="13">
        <v>101.38</v>
      </c>
      <c r="P10" s="13">
        <v>100.79</v>
      </c>
      <c r="Q10" s="13">
        <v>100.6</v>
      </c>
      <c r="R10" s="13">
        <v>100.49</v>
      </c>
      <c r="S10" s="13">
        <v>101.01</v>
      </c>
      <c r="T10" s="13">
        <v>100.31</v>
      </c>
      <c r="U10" s="13">
        <v>100.35</v>
      </c>
      <c r="V10" s="13">
        <v>100.7</v>
      </c>
      <c r="W10" s="13">
        <v>100.65</v>
      </c>
      <c r="X10" s="13">
        <v>100.81</v>
      </c>
      <c r="Y10" s="13">
        <v>100.75</v>
      </c>
      <c r="Z10" s="13">
        <v>100.5</v>
      </c>
      <c r="AA10" s="13">
        <v>100.46</v>
      </c>
      <c r="AB10" s="21">
        <v>100.35</v>
      </c>
      <c r="AC10" s="13">
        <v>100.35</v>
      </c>
      <c r="AD10" s="22">
        <v>100.39</v>
      </c>
      <c r="AE10" s="22">
        <v>100.46</v>
      </c>
      <c r="AF10" s="22">
        <v>100.44</v>
      </c>
      <c r="AG10" s="22">
        <v>99.68</v>
      </c>
      <c r="AH10" s="22">
        <v>101.13</v>
      </c>
      <c r="AI10" s="22">
        <v>101.53</v>
      </c>
      <c r="AJ10" s="22">
        <v>101.34</v>
      </c>
      <c r="AK10" s="22"/>
    </row>
    <row r="11" spans="1:37">
      <c r="A11" s="12" t="s">
        <v>20</v>
      </c>
      <c r="B11" s="13">
        <v>103.5</v>
      </c>
      <c r="C11" s="13">
        <v>139.1</v>
      </c>
      <c r="D11" s="13">
        <v>117.3</v>
      </c>
      <c r="E11" s="13">
        <v>111.41</v>
      </c>
      <c r="F11" s="13">
        <v>108.73</v>
      </c>
      <c r="G11" s="13">
        <v>101.13</v>
      </c>
      <c r="H11" s="13">
        <v>101</v>
      </c>
      <c r="I11" s="13">
        <v>100.56</v>
      </c>
      <c r="J11" s="13">
        <v>103.48</v>
      </c>
      <c r="K11" s="13">
        <v>103.02</v>
      </c>
      <c r="L11" s="13">
        <v>102.53</v>
      </c>
      <c r="M11" s="13">
        <v>101.64</v>
      </c>
      <c r="N11" s="13">
        <v>101.22</v>
      </c>
      <c r="O11" s="13">
        <v>100.89</v>
      </c>
      <c r="P11" s="13">
        <v>100.92</v>
      </c>
      <c r="Q11" s="13">
        <v>100.68</v>
      </c>
      <c r="R11" s="13">
        <v>100.61</v>
      </c>
      <c r="S11" s="13">
        <v>101.1</v>
      </c>
      <c r="T11" s="13">
        <v>100.46</v>
      </c>
      <c r="U11" s="13">
        <v>100.42</v>
      </c>
      <c r="V11" s="13">
        <v>100.69</v>
      </c>
      <c r="W11" s="13">
        <v>100.8</v>
      </c>
      <c r="X11" s="13">
        <v>100.6</v>
      </c>
      <c r="Y11" s="13">
        <v>100.87</v>
      </c>
      <c r="Z11" s="13">
        <v>100.97</v>
      </c>
      <c r="AA11" s="13">
        <v>100.56</v>
      </c>
      <c r="AB11" s="21">
        <v>100.68</v>
      </c>
      <c r="AC11" s="13">
        <v>100.74</v>
      </c>
      <c r="AD11" s="13">
        <v>100.6</v>
      </c>
      <c r="AE11" s="22">
        <v>100.12</v>
      </c>
      <c r="AF11" s="22">
        <v>100.76</v>
      </c>
      <c r="AG11" s="22">
        <v>100.88</v>
      </c>
      <c r="AH11" s="22">
        <v>100.83</v>
      </c>
      <c r="AI11" s="22">
        <v>101.06</v>
      </c>
      <c r="AJ11" s="22">
        <v>100.59</v>
      </c>
      <c r="AK11" s="22"/>
    </row>
    <row r="12" spans="1:37">
      <c r="A12" s="12" t="s">
        <v>21</v>
      </c>
      <c r="B12" s="13">
        <v>104.4</v>
      </c>
      <c r="C12" s="13">
        <v>120.8</v>
      </c>
      <c r="D12" s="13">
        <v>129.29</v>
      </c>
      <c r="E12" s="13">
        <v>113.3</v>
      </c>
      <c r="F12" s="13">
        <v>109.68</v>
      </c>
      <c r="G12" s="13">
        <v>102.31</v>
      </c>
      <c r="H12" s="13">
        <v>102.27</v>
      </c>
      <c r="I12" s="13">
        <v>101.22</v>
      </c>
      <c r="J12" s="13">
        <v>103.13</v>
      </c>
      <c r="K12" s="13">
        <v>103.77</v>
      </c>
      <c r="L12" s="13">
        <v>102.9</v>
      </c>
      <c r="M12" s="13">
        <v>101.79</v>
      </c>
      <c r="N12" s="13">
        <v>101.91</v>
      </c>
      <c r="O12" s="13">
        <v>101.31</v>
      </c>
      <c r="P12" s="13">
        <v>100.91</v>
      </c>
      <c r="Q12" s="13">
        <v>100.61</v>
      </c>
      <c r="R12" s="13">
        <v>100.64</v>
      </c>
      <c r="S12" s="13">
        <v>100.91</v>
      </c>
      <c r="T12" s="13">
        <v>100.8</v>
      </c>
      <c r="U12" s="13">
        <v>100.55</v>
      </c>
      <c r="V12" s="13">
        <v>100.62</v>
      </c>
      <c r="W12" s="13">
        <v>102.72</v>
      </c>
      <c r="X12" s="13">
        <v>103.08</v>
      </c>
      <c r="Y12" s="13">
        <v>101.41</v>
      </c>
      <c r="Z12" s="13">
        <v>103</v>
      </c>
      <c r="AA12" s="13">
        <v>101.65</v>
      </c>
      <c r="AB12" s="21">
        <v>101.59</v>
      </c>
      <c r="AC12" s="13">
        <v>101.28</v>
      </c>
      <c r="AD12" s="22">
        <v>100.93</v>
      </c>
      <c r="AE12" s="22">
        <v>100.99</v>
      </c>
      <c r="AF12" s="22">
        <v>100.88</v>
      </c>
      <c r="AG12" s="22">
        <v>101.41</v>
      </c>
      <c r="AH12" s="22">
        <v>100.48</v>
      </c>
      <c r="AI12" s="22">
        <v>102.86</v>
      </c>
      <c r="AJ12" s="22">
        <v>102.69</v>
      </c>
      <c r="AK12" s="22"/>
    </row>
    <row r="13" spans="1:37">
      <c r="A13" s="12" t="s">
        <v>22</v>
      </c>
      <c r="B13" s="13">
        <v>101.9</v>
      </c>
      <c r="C13" s="13">
        <v>110.52</v>
      </c>
      <c r="D13" s="13">
        <v>149.78</v>
      </c>
      <c r="E13" s="13">
        <v>109.92</v>
      </c>
      <c r="F13" s="13">
        <v>107.86</v>
      </c>
      <c r="G13" s="13">
        <v>102.71</v>
      </c>
      <c r="H13" s="13">
        <v>101.05</v>
      </c>
      <c r="I13" s="13">
        <v>101.17</v>
      </c>
      <c r="J13" s="13">
        <v>101.93</v>
      </c>
      <c r="K13" s="13">
        <v>103</v>
      </c>
      <c r="L13" s="13">
        <v>102.26</v>
      </c>
      <c r="M13" s="13">
        <v>102.53</v>
      </c>
      <c r="N13" s="13">
        <v>100.73</v>
      </c>
      <c r="O13" s="13">
        <v>100.98</v>
      </c>
      <c r="P13" s="13">
        <v>100.77</v>
      </c>
      <c r="Q13" s="13">
        <v>100.75</v>
      </c>
      <c r="R13" s="13">
        <v>100.53</v>
      </c>
      <c r="S13" s="13">
        <v>100.94</v>
      </c>
      <c r="T13" s="13">
        <v>100.4</v>
      </c>
      <c r="U13" s="13">
        <v>100.29</v>
      </c>
      <c r="V13" s="13">
        <v>100.34</v>
      </c>
      <c r="W13" s="13">
        <v>100.58</v>
      </c>
      <c r="X13" s="13">
        <v>100.87</v>
      </c>
      <c r="Y13" s="13">
        <v>100.65</v>
      </c>
      <c r="Z13" s="13">
        <v>101.27</v>
      </c>
      <c r="AA13" s="13">
        <v>100.33</v>
      </c>
      <c r="AB13" s="21">
        <v>100.37</v>
      </c>
      <c r="AC13" s="13">
        <v>100.27</v>
      </c>
      <c r="AD13" s="22">
        <v>100.18</v>
      </c>
      <c r="AE13" s="22">
        <v>100.37</v>
      </c>
      <c r="AF13" s="22">
        <v>100.32</v>
      </c>
      <c r="AG13" s="22">
        <v>100.05</v>
      </c>
      <c r="AH13" s="22">
        <v>99.68</v>
      </c>
      <c r="AI13" s="22">
        <v>100.01</v>
      </c>
      <c r="AJ13" s="22">
        <v>99.38</v>
      </c>
      <c r="AK13" s="22"/>
    </row>
    <row r="14" spans="1:37">
      <c r="A14" s="12" t="s">
        <v>23</v>
      </c>
      <c r="B14" s="13">
        <v>101.8</v>
      </c>
      <c r="C14" s="13">
        <v>110.9</v>
      </c>
      <c r="D14" s="13">
        <v>124.8</v>
      </c>
      <c r="E14" s="13">
        <v>113.4</v>
      </c>
      <c r="F14" s="13">
        <v>107.1</v>
      </c>
      <c r="G14" s="13">
        <v>101.61</v>
      </c>
      <c r="H14" s="13">
        <v>101.21</v>
      </c>
      <c r="I14" s="13">
        <v>103.38</v>
      </c>
      <c r="J14" s="13">
        <v>102.02</v>
      </c>
      <c r="K14" s="13">
        <v>102.77</v>
      </c>
      <c r="L14" s="13">
        <v>102.55</v>
      </c>
      <c r="M14" s="13">
        <v>102.76</v>
      </c>
      <c r="N14" s="13">
        <v>100.89</v>
      </c>
      <c r="O14" s="13">
        <v>100.63</v>
      </c>
      <c r="P14" s="13">
        <v>100.9</v>
      </c>
      <c r="Q14" s="13">
        <v>100.45</v>
      </c>
      <c r="R14" s="13">
        <v>100.44</v>
      </c>
      <c r="S14" s="13">
        <v>101.04</v>
      </c>
      <c r="T14" s="13">
        <v>100.08</v>
      </c>
      <c r="U14" s="13">
        <v>100.03</v>
      </c>
      <c r="V14" s="13">
        <v>99.91</v>
      </c>
      <c r="W14" s="13">
        <v>100.96</v>
      </c>
      <c r="X14" s="13">
        <v>100.11</v>
      </c>
      <c r="Y14" s="13">
        <v>100.28</v>
      </c>
      <c r="Z14" s="13">
        <v>100.02</v>
      </c>
      <c r="AA14" s="13">
        <v>100.09</v>
      </c>
      <c r="AB14" s="21">
        <v>100.12</v>
      </c>
      <c r="AC14" s="13">
        <v>100.24</v>
      </c>
      <c r="AD14" s="22">
        <v>99.77</v>
      </c>
      <c r="AE14" s="22">
        <v>99.58</v>
      </c>
      <c r="AF14" s="13">
        <v>100</v>
      </c>
      <c r="AG14" s="22">
        <v>100.51</v>
      </c>
      <c r="AH14" s="22">
        <v>100.61</v>
      </c>
      <c r="AI14" s="22">
        <v>100.51</v>
      </c>
      <c r="AJ14" s="22">
        <v>100.47</v>
      </c>
      <c r="AK14" s="22"/>
    </row>
    <row r="15" spans="1:37">
      <c r="A15" s="12" t="s">
        <v>24</v>
      </c>
      <c r="B15" s="13">
        <v>102.6</v>
      </c>
      <c r="C15" s="13">
        <v>128.88</v>
      </c>
      <c r="D15" s="13">
        <v>124.3</v>
      </c>
      <c r="E15" s="13">
        <v>110.52</v>
      </c>
      <c r="F15" s="13">
        <v>108.91</v>
      </c>
      <c r="G15" s="13">
        <v>103.93</v>
      </c>
      <c r="H15" s="13">
        <v>101.15</v>
      </c>
      <c r="I15" s="13">
        <v>101.6</v>
      </c>
      <c r="J15" s="13">
        <v>102.04</v>
      </c>
      <c r="K15" s="13">
        <v>102.4</v>
      </c>
      <c r="L15" s="13">
        <v>101.91</v>
      </c>
      <c r="M15" s="13">
        <v>102.51</v>
      </c>
      <c r="N15" s="13">
        <v>100.8</v>
      </c>
      <c r="O15" s="13">
        <v>101.2</v>
      </c>
      <c r="P15" s="13">
        <v>100.69</v>
      </c>
      <c r="Q15" s="13">
        <v>100.41</v>
      </c>
      <c r="R15" s="13">
        <v>100.13</v>
      </c>
      <c r="S15" s="13">
        <v>100.01</v>
      </c>
      <c r="T15" s="13">
        <v>99.94</v>
      </c>
      <c r="U15" s="13">
        <v>100.02</v>
      </c>
      <c r="V15" s="13">
        <v>100.14</v>
      </c>
      <c r="W15" s="13">
        <v>100.05</v>
      </c>
      <c r="X15" s="13">
        <v>99.91</v>
      </c>
      <c r="Y15" s="13">
        <v>100.57</v>
      </c>
      <c r="Z15" s="13">
        <v>99.91</v>
      </c>
      <c r="AA15" s="13">
        <v>99.74</v>
      </c>
      <c r="AB15" s="21">
        <v>99.8</v>
      </c>
      <c r="AC15" s="13">
        <v>99.94</v>
      </c>
      <c r="AD15" s="22">
        <v>99.82</v>
      </c>
      <c r="AE15" s="22">
        <v>99.87</v>
      </c>
      <c r="AF15" s="22">
        <v>100.01</v>
      </c>
      <c r="AG15" s="22">
        <v>100.24</v>
      </c>
      <c r="AH15" s="22">
        <v>100.48</v>
      </c>
      <c r="AI15" s="22">
        <v>100.21</v>
      </c>
      <c r="AJ15" s="22">
        <v>99.58</v>
      </c>
      <c r="AK15" s="22"/>
    </row>
    <row r="16" spans="1:37">
      <c r="A16" s="12" t="s">
        <v>25</v>
      </c>
      <c r="B16" s="13">
        <v>103.9</v>
      </c>
      <c r="C16" s="13">
        <v>122.6</v>
      </c>
      <c r="D16" s="13">
        <v>123</v>
      </c>
      <c r="E16" s="13">
        <v>110.5</v>
      </c>
      <c r="F16" s="13">
        <v>106.61</v>
      </c>
      <c r="G16" s="13">
        <v>102.72</v>
      </c>
      <c r="H16" s="13">
        <v>101.13</v>
      </c>
      <c r="I16" s="13">
        <v>101.25</v>
      </c>
      <c r="J16" s="13">
        <v>101.71</v>
      </c>
      <c r="K16" s="13">
        <v>101.58</v>
      </c>
      <c r="L16" s="13">
        <v>101.47</v>
      </c>
      <c r="M16" s="13">
        <v>101.85</v>
      </c>
      <c r="N16" s="13">
        <v>100.4</v>
      </c>
      <c r="O16" s="13">
        <v>100.83</v>
      </c>
      <c r="P16" s="13">
        <v>100.61</v>
      </c>
      <c r="Q16" s="13">
        <v>100.48</v>
      </c>
      <c r="R16" s="13">
        <v>100.58</v>
      </c>
      <c r="S16" s="13">
        <v>100.66</v>
      </c>
      <c r="T16" s="13">
        <v>100.13</v>
      </c>
      <c r="U16" s="13">
        <v>100.21</v>
      </c>
      <c r="V16" s="13">
        <v>100.09</v>
      </c>
      <c r="W16" s="13">
        <v>100.04</v>
      </c>
      <c r="X16" s="13">
        <v>100.21</v>
      </c>
      <c r="Y16" s="13">
        <v>101.16</v>
      </c>
      <c r="Z16" s="13">
        <v>100.16</v>
      </c>
      <c r="AA16" s="13">
        <v>100.04</v>
      </c>
      <c r="AB16" s="21">
        <v>100.12</v>
      </c>
      <c r="AC16" s="13">
        <v>100</v>
      </c>
      <c r="AD16" s="22">
        <v>100.11</v>
      </c>
      <c r="AE16" s="22">
        <v>100.05</v>
      </c>
      <c r="AF16" s="22">
        <v>100.81</v>
      </c>
      <c r="AG16" s="22">
        <v>100.76</v>
      </c>
      <c r="AH16" s="22">
        <v>101.23</v>
      </c>
      <c r="AI16" s="22">
        <v>101.31</v>
      </c>
      <c r="AJ16" s="22">
        <v>100.36</v>
      </c>
      <c r="AK16" s="22"/>
    </row>
    <row r="17" spans="1:37">
      <c r="A17" s="12" t="s">
        <v>26</v>
      </c>
      <c r="B17" s="13">
        <v>103.4</v>
      </c>
      <c r="C17" s="13">
        <v>116.2</v>
      </c>
      <c r="D17" s="13">
        <v>115.6</v>
      </c>
      <c r="E17" s="13">
        <v>111.5</v>
      </c>
      <c r="F17" s="13">
        <v>102.95</v>
      </c>
      <c r="G17" s="13">
        <v>100.8</v>
      </c>
      <c r="H17" s="13">
        <v>100.74</v>
      </c>
      <c r="I17" s="13">
        <v>101.8</v>
      </c>
      <c r="J17" s="13">
        <v>100.91</v>
      </c>
      <c r="K17" s="13">
        <v>101.61</v>
      </c>
      <c r="L17" s="13">
        <v>101.35</v>
      </c>
      <c r="M17" s="13">
        <v>101.08</v>
      </c>
      <c r="N17" s="13">
        <v>100.91</v>
      </c>
      <c r="O17" s="13">
        <v>100.96</v>
      </c>
      <c r="P17" s="13">
        <v>100.83</v>
      </c>
      <c r="Q17" s="13">
        <v>100.73</v>
      </c>
      <c r="R17" s="13">
        <v>100.85</v>
      </c>
      <c r="S17" s="13">
        <v>100.96</v>
      </c>
      <c r="T17" s="13">
        <v>100.49</v>
      </c>
      <c r="U17" s="13">
        <v>100.42</v>
      </c>
      <c r="V17" s="13">
        <v>100.31</v>
      </c>
      <c r="W17" s="13">
        <v>100.44</v>
      </c>
      <c r="X17" s="13">
        <v>100.58</v>
      </c>
      <c r="Y17" s="13">
        <v>102.24</v>
      </c>
      <c r="Z17" s="13">
        <v>100.65</v>
      </c>
      <c r="AA17" s="13">
        <v>100.27</v>
      </c>
      <c r="AB17" s="21">
        <v>100.32</v>
      </c>
      <c r="AC17" s="13">
        <v>100.42</v>
      </c>
      <c r="AD17" s="22">
        <v>100.24</v>
      </c>
      <c r="AE17" s="22">
        <v>100.42</v>
      </c>
      <c r="AF17" s="22">
        <v>100.26</v>
      </c>
      <c r="AG17" s="22">
        <v>102.04</v>
      </c>
      <c r="AH17" s="13">
        <v>100.1</v>
      </c>
      <c r="AI17" s="13">
        <v>100.2</v>
      </c>
      <c r="AJ17" s="22">
        <v>100.15</v>
      </c>
      <c r="AK17" s="22"/>
    </row>
    <row r="18" spans="1:37">
      <c r="A18" s="14" t="s">
        <v>27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25"/>
    </row>
    <row r="19" s="1" customFormat="1" spans="1:37">
      <c r="A19" s="16" t="s">
        <v>26</v>
      </c>
      <c r="B19" s="17">
        <v>178.8</v>
      </c>
      <c r="C19" s="17">
        <v>2220.52</v>
      </c>
      <c r="D19" s="17">
        <v>2411.2</v>
      </c>
      <c r="E19" s="17">
        <v>622.4</v>
      </c>
      <c r="F19" s="17">
        <v>332.21</v>
      </c>
      <c r="G19" s="17">
        <v>148.38</v>
      </c>
      <c r="H19" s="17">
        <v>122.52</v>
      </c>
      <c r="I19" s="17">
        <v>118.29</v>
      </c>
      <c r="J19" s="17">
        <v>134.02</v>
      </c>
      <c r="K19" s="17">
        <v>133.7</v>
      </c>
      <c r="L19" s="17">
        <v>136.9</v>
      </c>
      <c r="M19" s="17">
        <v>136.17</v>
      </c>
      <c r="N19" s="17">
        <v>122.26</v>
      </c>
      <c r="O19" s="17">
        <v>117.74</v>
      </c>
      <c r="P19" s="17">
        <v>121</v>
      </c>
      <c r="Q19" s="17">
        <v>113.86</v>
      </c>
      <c r="R19" s="17">
        <v>113.33</v>
      </c>
      <c r="S19" s="17">
        <v>115.93</v>
      </c>
      <c r="T19" s="17">
        <v>111.6</v>
      </c>
      <c r="U19" s="17">
        <v>108.06</v>
      </c>
      <c r="V19" s="17">
        <v>108.72</v>
      </c>
      <c r="W19" s="17">
        <v>107.28</v>
      </c>
      <c r="X19" s="17">
        <v>108.01</v>
      </c>
      <c r="Y19" s="17">
        <v>110.45</v>
      </c>
      <c r="Z19" s="17">
        <v>110.2</v>
      </c>
      <c r="AA19" s="17">
        <v>104.89</v>
      </c>
      <c r="AB19" s="23">
        <v>104.35</v>
      </c>
      <c r="AC19" s="23">
        <v>103.94</v>
      </c>
      <c r="AD19" s="23">
        <v>103.75</v>
      </c>
      <c r="AE19" s="17">
        <v>102.7</v>
      </c>
      <c r="AF19" s="23">
        <v>104.98</v>
      </c>
      <c r="AG19" s="23">
        <v>113.19</v>
      </c>
      <c r="AH19" s="23">
        <v>108.33</v>
      </c>
      <c r="AI19" s="23">
        <v>111.52</v>
      </c>
      <c r="AJ19" s="17">
        <v>109.3</v>
      </c>
      <c r="AK19" s="23" t="s">
        <v>38</v>
      </c>
    </row>
    <row r="20" s="1" customFormat="1" ht="33" customHeight="1" spans="1:37">
      <c r="A20" s="18" t="s">
        <v>33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</row>
    <row r="22" spans="1:1">
      <c r="A22" s="19" t="s">
        <v>34</v>
      </c>
    </row>
  </sheetData>
  <mergeCells count="5">
    <mergeCell ref="A1:AK1"/>
    <mergeCell ref="A2:C2"/>
    <mergeCell ref="A5:AK5"/>
    <mergeCell ref="A18:AK18"/>
    <mergeCell ref="A20:AK20"/>
  </mergeCells>
  <hyperlinks>
    <hyperlink ref="A2" location="Содержание!A1" display="К содержанию"/>
  </hyperlinks>
  <pageMargins left="0.21" right="0.196850393700787" top="0.748031496062992" bottom="0.748031496062992" header="0.31496062992126" footer="0.31496062992126"/>
  <pageSetup paperSize="9" scale="95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Rosstat</Company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Содержание</vt:lpstr>
      <vt:lpstr>01</vt:lpstr>
      <vt:lpstr>02</vt:lpstr>
      <vt:lpstr>03</vt:lpstr>
      <vt:lpstr>04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Михаил Афонин</dc:creator>
  <cp:lastModifiedBy>gekry</cp:lastModifiedBy>
  <dcterms:created xsi:type="dcterms:W3CDTF">2015-09-09T08:45:00Z</dcterms:created>
  <cp:lastPrinted>2019-02-06T06:31:00Z</cp:lastPrinted>
  <dcterms:modified xsi:type="dcterms:W3CDTF">2026-04-20T06:24:03Z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BCCFE55DE81646539CD72F61EEEBB406_12</vt:lpwstr>
  </property>
  <property fmtid="{D5CDD505-2E9C-101B-9397-08002B2CF9AE}" pid="3" name="KSOProductBuildVer">
    <vt:lpwstr>1049-12.2.0.23196</vt:lpwstr>
  </property>
</Properties>
</file>
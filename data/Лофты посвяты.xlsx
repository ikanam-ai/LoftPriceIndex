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<sst xmlns="http://schemas.openxmlformats.org/spreadsheetml/2006/main" count="61" uniqueCount="35">
  <si>
    <t>Дата</t>
  </si>
  <si>
    <t>Тип</t>
  </si>
  <si>
    <t>Минимальная цена</t>
  </si>
  <si>
    <t>Средняя цена</t>
  </si>
  <si>
    <t>Ссылка</t>
  </si>
  <si>
    <t>Лофт</t>
  </si>
  <si>
    <t>https://vk.com/wall-130344439_6003</t>
  </si>
  <si>
    <t>https://vk.com/wall-130344439_5958</t>
  </si>
  <si>
    <t>Посвят</t>
  </si>
  <si>
    <t>https://vk.com/wall-130344439_5928</t>
  </si>
  <si>
    <t>https://vk.com/wall-130344439_5909</t>
  </si>
  <si>
    <t>https://vk.com/wall-130344439_5836</t>
  </si>
  <si>
    <t>https://vk.com/wall-130344439_5800</t>
  </si>
  <si>
    <t>https://vk.com/wall-130344439_5690</t>
  </si>
  <si>
    <t>https://vk.com/wall-130344439_5517</t>
  </si>
  <si>
    <t>https://vk.com/wall-130344439_5443</t>
  </si>
  <si>
    <t>https://vk.com/wall-130344439_5298</t>
  </si>
  <si>
    <t>https://vk.com/wall-130344439_5110</t>
  </si>
  <si>
    <t>https://vk.com/wall-130344439_4939</t>
  </si>
  <si>
    <t>https://vk.com/wall-130344439_4789</t>
  </si>
  <si>
    <t>https://vk.com/wall-130344439_4567</t>
  </si>
  <si>
    <t>https://vk.com/wall-130344439_4240</t>
  </si>
  <si>
    <t>https://vk.com/wall-130344439_4138</t>
  </si>
  <si>
    <t>https://vk.com/wall-130344439_3880</t>
  </si>
  <si>
    <t>https://vk.com/wall-130344439_3804</t>
  </si>
  <si>
    <t>https://vk.com/wall-130344439_3424</t>
  </si>
  <si>
    <t>https://vk.com/wall-130344439_3398</t>
  </si>
  <si>
    <t>https://vk.com/wall-130344439_3371</t>
  </si>
  <si>
    <t>https://vk.com/wall-130344439_2817</t>
  </si>
  <si>
    <t>https://vk.com/wall-130344439_2780</t>
  </si>
  <si>
    <t>https://vk.com/wall-130344439_2718</t>
  </si>
  <si>
    <t>https://vk.com/wall-130344439_2229</t>
  </si>
  <si>
    <t>https://vk.com/wall-130344439_2199</t>
  </si>
  <si>
    <t>https://vk.com/wall-130344439_1424</t>
  </si>
  <si>
    <t>https://vk.com/wall-130344439_567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</si>
</sst>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vk.com/wall-130344439_3398" TargetMode="External"/><Relationship Id="rId22" Type="http://schemas.openxmlformats.org/officeDocument/2006/relationships/hyperlink" Target="https://vk.com/wall-130344439_2817" TargetMode="External"/><Relationship Id="rId21" Type="http://schemas.openxmlformats.org/officeDocument/2006/relationships/hyperlink" Target="https://vk.com/wall-130344439_3371" TargetMode="External"/><Relationship Id="rId24" Type="http://schemas.openxmlformats.org/officeDocument/2006/relationships/hyperlink" Target="https://vk.com/wall-130344439_2718" TargetMode="External"/><Relationship Id="rId23" Type="http://schemas.openxmlformats.org/officeDocument/2006/relationships/hyperlink" Target="https://vk.com/wall-130344439_2780" TargetMode="External"/><Relationship Id="rId1" Type="http://schemas.openxmlformats.org/officeDocument/2006/relationships/hyperlink" Target="https://vk.com/wall-130344439_6003" TargetMode="External"/><Relationship Id="rId2" Type="http://schemas.openxmlformats.org/officeDocument/2006/relationships/hyperlink" Target="https://vk.com/wall-130344439_5958" TargetMode="External"/><Relationship Id="rId3" Type="http://schemas.openxmlformats.org/officeDocument/2006/relationships/hyperlink" Target="https://vk.com/wall-130344439_5928" TargetMode="External"/><Relationship Id="rId4" Type="http://schemas.openxmlformats.org/officeDocument/2006/relationships/hyperlink" Target="https://vk.com/wall-130344439_5909" TargetMode="External"/><Relationship Id="rId9" Type="http://schemas.openxmlformats.org/officeDocument/2006/relationships/hyperlink" Target="https://vk.com/wall-130344439_5443" TargetMode="External"/><Relationship Id="rId26" Type="http://schemas.openxmlformats.org/officeDocument/2006/relationships/hyperlink" Target="https://vk.com/wall-130344439_2199" TargetMode="External"/><Relationship Id="rId25" Type="http://schemas.openxmlformats.org/officeDocument/2006/relationships/hyperlink" Target="https://vk.com/wall-130344439_2229" TargetMode="External"/><Relationship Id="rId28" Type="http://schemas.openxmlformats.org/officeDocument/2006/relationships/hyperlink" Target="https://vk.com/wall-130344439_567" TargetMode="External"/><Relationship Id="rId27" Type="http://schemas.openxmlformats.org/officeDocument/2006/relationships/hyperlink" Target="https://vk.com/wall-130344439_1424" TargetMode="External"/><Relationship Id="rId5" Type="http://schemas.openxmlformats.org/officeDocument/2006/relationships/hyperlink" Target="https://vk.com/wall-130344439_5836" TargetMode="External"/><Relationship Id="rId6" Type="http://schemas.openxmlformats.org/officeDocument/2006/relationships/hyperlink" Target="https://vk.com/wall-130344439_5800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vk.com/wall-130344439_5690" TargetMode="External"/><Relationship Id="rId8" Type="http://schemas.openxmlformats.org/officeDocument/2006/relationships/hyperlink" Target="https://vk.com/wall-130344439_5517" TargetMode="External"/><Relationship Id="rId11" Type="http://schemas.openxmlformats.org/officeDocument/2006/relationships/hyperlink" Target="https://vk.com/wall-130344439_5110" TargetMode="External"/><Relationship Id="rId10" Type="http://schemas.openxmlformats.org/officeDocument/2006/relationships/hyperlink" Target="https://vk.com/wall-130344439_5298" TargetMode="External"/><Relationship Id="rId13" Type="http://schemas.openxmlformats.org/officeDocument/2006/relationships/hyperlink" Target="https://vk.com/wall-130344439_4789" TargetMode="External"/><Relationship Id="rId12" Type="http://schemas.openxmlformats.org/officeDocument/2006/relationships/hyperlink" Target="https://vk.com/wall-130344439_4939" TargetMode="External"/><Relationship Id="rId15" Type="http://schemas.openxmlformats.org/officeDocument/2006/relationships/hyperlink" Target="https://vk.com/wall-130344439_4240" TargetMode="External"/><Relationship Id="rId14" Type="http://schemas.openxmlformats.org/officeDocument/2006/relationships/hyperlink" Target="https://vk.com/wall-130344439_4567" TargetMode="External"/><Relationship Id="rId17" Type="http://schemas.openxmlformats.org/officeDocument/2006/relationships/hyperlink" Target="https://vk.com/wall-130344439_3880" TargetMode="External"/><Relationship Id="rId16" Type="http://schemas.openxmlformats.org/officeDocument/2006/relationships/hyperlink" Target="https://vk.com/wall-130344439_4138" TargetMode="External"/><Relationship Id="rId19" Type="http://schemas.openxmlformats.org/officeDocument/2006/relationships/hyperlink" Target="https://vk.com/wall-130344439_3424" TargetMode="External"/><Relationship Id="rId18" Type="http://schemas.openxmlformats.org/officeDocument/2006/relationships/hyperlink" Target="https://vk.com/wall-130344439_38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13"/>
    <col customWidth="1" min="5" max="5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46136.0</v>
      </c>
      <c r="B2" s="2" t="s">
        <v>5</v>
      </c>
      <c r="C2" s="2">
        <v>1700.0</v>
      </c>
      <c r="D2" s="4">
        <f>(1700+2000+2200)/3</f>
        <v>1966.666667</v>
      </c>
      <c r="E2" s="5" t="s">
        <v>6</v>
      </c>
    </row>
    <row r="3">
      <c r="A3" s="3">
        <v>46066.0</v>
      </c>
      <c r="B3" s="2" t="s">
        <v>5</v>
      </c>
      <c r="C3" s="2">
        <v>1800.0</v>
      </c>
      <c r="D3" s="4">
        <f>(1800+2000+2200)/3</f>
        <v>2000</v>
      </c>
      <c r="E3" s="5" t="s">
        <v>7</v>
      </c>
    </row>
    <row r="4">
      <c r="A4" s="6">
        <v>45976.0</v>
      </c>
      <c r="B4" s="2" t="s">
        <v>8</v>
      </c>
      <c r="C4" s="2">
        <v>3500.0</v>
      </c>
      <c r="D4" s="4">
        <f>(3500+3700+4000)/3</f>
        <v>3733.333333</v>
      </c>
      <c r="E4" s="5" t="s">
        <v>9</v>
      </c>
    </row>
    <row r="5">
      <c r="A5" s="3">
        <v>45905.0</v>
      </c>
      <c r="B5" s="2" t="s">
        <v>5</v>
      </c>
      <c r="C5" s="2">
        <v>1800.0</v>
      </c>
      <c r="D5" s="4">
        <f>(1800+2000+2200)/3</f>
        <v>2000</v>
      </c>
      <c r="E5" s="5" t="s">
        <v>10</v>
      </c>
    </row>
    <row r="6">
      <c r="A6" s="3">
        <v>45772.0</v>
      </c>
      <c r="B6" s="2" t="s">
        <v>5</v>
      </c>
      <c r="C6" s="2">
        <v>1500.0</v>
      </c>
      <c r="D6" s="4">
        <f>(1500+1700)/2</f>
        <v>1600</v>
      </c>
      <c r="E6" s="5" t="s">
        <v>11</v>
      </c>
    </row>
    <row r="7">
      <c r="A7" s="3">
        <v>45702.0</v>
      </c>
      <c r="B7" s="2" t="s">
        <v>5</v>
      </c>
      <c r="C7" s="2">
        <v>1505.0</v>
      </c>
      <c r="D7" s="4">
        <f>(1505+1705)/2</f>
        <v>1605</v>
      </c>
      <c r="E7" s="5" t="s">
        <v>12</v>
      </c>
    </row>
    <row r="8">
      <c r="A8" s="6">
        <v>45626.0</v>
      </c>
      <c r="B8" s="2" t="s">
        <v>8</v>
      </c>
      <c r="C8" s="2">
        <v>3900.0</v>
      </c>
      <c r="D8" s="4">
        <f>(3900+4300)/2</f>
        <v>4100</v>
      </c>
      <c r="E8" s="5" t="s">
        <v>13</v>
      </c>
    </row>
    <row r="9">
      <c r="A9" s="3">
        <v>45541.0</v>
      </c>
      <c r="B9" s="2" t="s">
        <v>5</v>
      </c>
      <c r="C9" s="2">
        <v>1300.0</v>
      </c>
      <c r="D9" s="4">
        <f>(1300+1500)/2</f>
        <v>1400</v>
      </c>
      <c r="E9" s="5" t="s">
        <v>14</v>
      </c>
    </row>
    <row r="10">
      <c r="A10" s="3">
        <v>45402.0</v>
      </c>
      <c r="B10" s="2" t="s">
        <v>5</v>
      </c>
      <c r="C10" s="2">
        <v>1300.0</v>
      </c>
      <c r="D10" s="4">
        <f>(1300+1400)/2</f>
        <v>1350</v>
      </c>
      <c r="E10" s="5" t="s">
        <v>15</v>
      </c>
    </row>
    <row r="11">
      <c r="A11" s="6">
        <v>45283.0</v>
      </c>
      <c r="B11" s="2" t="s">
        <v>5</v>
      </c>
      <c r="C11" s="2">
        <v>1100.0</v>
      </c>
      <c r="D11" s="4">
        <f>(1100+1300)/2</f>
        <v>1200</v>
      </c>
      <c r="E11" s="5" t="s">
        <v>16</v>
      </c>
    </row>
    <row r="12">
      <c r="A12" s="3">
        <v>45206.0</v>
      </c>
      <c r="B12" s="2" t="s">
        <v>8</v>
      </c>
      <c r="C12" s="2">
        <v>3800.0</v>
      </c>
      <c r="D12" s="4">
        <f>(3800+4100)/2</f>
        <v>3950</v>
      </c>
      <c r="E12" s="5" t="s">
        <v>17</v>
      </c>
    </row>
    <row r="13">
      <c r="A13" s="3">
        <v>45171.0</v>
      </c>
      <c r="B13" s="2" t="s">
        <v>5</v>
      </c>
      <c r="C13" s="2">
        <v>1000.0</v>
      </c>
      <c r="D13" s="4">
        <f t="shared" ref="D13:D14" si="1">(1000+1300)/2</f>
        <v>1150</v>
      </c>
      <c r="E13" s="5" t="s">
        <v>18</v>
      </c>
    </row>
    <row r="14">
      <c r="A14" s="3">
        <v>45038.0</v>
      </c>
      <c r="B14" s="2" t="s">
        <v>5</v>
      </c>
      <c r="C14" s="2">
        <v>1000.0</v>
      </c>
      <c r="D14" s="4">
        <f t="shared" si="1"/>
        <v>1150</v>
      </c>
      <c r="E14" s="5" t="s">
        <v>19</v>
      </c>
    </row>
    <row r="15">
      <c r="A15" s="6">
        <v>44912.0</v>
      </c>
      <c r="B15" s="2" t="s">
        <v>5</v>
      </c>
      <c r="C15" s="2">
        <v>999.0</v>
      </c>
      <c r="D15" s="4">
        <f>(999+1300)/2</f>
        <v>1149.5</v>
      </c>
      <c r="E15" s="5" t="s">
        <v>20</v>
      </c>
    </row>
    <row r="16">
      <c r="A16" s="3">
        <v>44842.0</v>
      </c>
      <c r="B16" s="2" t="s">
        <v>8</v>
      </c>
      <c r="C16" s="2">
        <v>3600.0</v>
      </c>
      <c r="D16" s="4">
        <f>(3600+4000)/2</f>
        <v>3800</v>
      </c>
      <c r="E16" s="5" t="s">
        <v>21</v>
      </c>
    </row>
    <row r="17">
      <c r="A17" s="3">
        <v>44806.0</v>
      </c>
      <c r="B17" s="2" t="s">
        <v>5</v>
      </c>
      <c r="C17" s="2">
        <v>900.0</v>
      </c>
      <c r="D17" s="4">
        <f t="shared" ref="D17:D19" si="2">(900+1200)/2</f>
        <v>1050</v>
      </c>
      <c r="E17" s="5" t="s">
        <v>22</v>
      </c>
    </row>
    <row r="18">
      <c r="A18" s="3">
        <v>44666.0</v>
      </c>
      <c r="B18" s="2" t="s">
        <v>5</v>
      </c>
      <c r="C18" s="2">
        <v>900.0</v>
      </c>
      <c r="D18" s="4">
        <f t="shared" si="2"/>
        <v>1050</v>
      </c>
      <c r="E18" s="5" t="s">
        <v>23</v>
      </c>
    </row>
    <row r="19">
      <c r="A19" s="6">
        <v>44547.0</v>
      </c>
      <c r="B19" s="2" t="s">
        <v>5</v>
      </c>
      <c r="C19" s="2">
        <v>900.0</v>
      </c>
      <c r="D19" s="4">
        <f t="shared" si="2"/>
        <v>1050</v>
      </c>
      <c r="E19" s="5" t="s">
        <v>24</v>
      </c>
    </row>
    <row r="20">
      <c r="A20" s="3">
        <v>44471.0</v>
      </c>
      <c r="B20" s="2" t="s">
        <v>8</v>
      </c>
      <c r="C20" s="2">
        <v>3800.0</v>
      </c>
      <c r="D20" s="4">
        <f>(3800+4000+4500)/3</f>
        <v>4100</v>
      </c>
      <c r="E20" s="5" t="s">
        <v>25</v>
      </c>
    </row>
    <row r="21">
      <c r="A21" s="3">
        <v>44442.0</v>
      </c>
      <c r="B21" s="2" t="s">
        <v>5</v>
      </c>
      <c r="C21" s="2">
        <v>750.0</v>
      </c>
      <c r="D21" s="4">
        <f>(750+1000)/2</f>
        <v>875</v>
      </c>
      <c r="E21" s="5" t="s">
        <v>26</v>
      </c>
    </row>
    <row r="22">
      <c r="A22" s="3">
        <v>44295.0</v>
      </c>
      <c r="B22" s="2" t="s">
        <v>5</v>
      </c>
      <c r="C22" s="2">
        <v>900.0</v>
      </c>
      <c r="D22" s="4">
        <f>(900+1200)/2</f>
        <v>1050</v>
      </c>
      <c r="E22" s="5" t="s">
        <v>27</v>
      </c>
    </row>
    <row r="23">
      <c r="A23" s="3">
        <v>44107.0</v>
      </c>
      <c r="B23" s="2" t="s">
        <v>8</v>
      </c>
      <c r="C23" s="2">
        <v>3500.0</v>
      </c>
      <c r="D23" s="4">
        <f>(3500+4000)/2</f>
        <v>3750</v>
      </c>
      <c r="E23" s="5" t="s">
        <v>28</v>
      </c>
    </row>
    <row r="24">
      <c r="A24" s="3">
        <v>44078.0</v>
      </c>
      <c r="B24" s="2" t="s">
        <v>5</v>
      </c>
      <c r="C24" s="2">
        <v>750.0</v>
      </c>
      <c r="D24" s="4">
        <f t="shared" ref="D24:D25" si="3">(750+1000)/2</f>
        <v>875</v>
      </c>
      <c r="E24" s="5" t="s">
        <v>29</v>
      </c>
    </row>
    <row r="25">
      <c r="A25" s="6">
        <v>43824.0</v>
      </c>
      <c r="B25" s="2" t="s">
        <v>5</v>
      </c>
      <c r="C25" s="2">
        <v>750.0</v>
      </c>
      <c r="D25" s="4">
        <f t="shared" si="3"/>
        <v>875</v>
      </c>
      <c r="E25" s="5" t="s">
        <v>30</v>
      </c>
    </row>
    <row r="26">
      <c r="A26" s="3">
        <v>43743.0</v>
      </c>
      <c r="B26" s="2" t="s">
        <v>8</v>
      </c>
      <c r="C26" s="2">
        <v>3500.0</v>
      </c>
      <c r="D26" s="4">
        <f>(3500+3700)/2</f>
        <v>3600</v>
      </c>
      <c r="E26" s="5" t="s">
        <v>31</v>
      </c>
    </row>
    <row r="27">
      <c r="A27" s="3">
        <v>43707.0</v>
      </c>
      <c r="B27" s="2" t="s">
        <v>5</v>
      </c>
      <c r="C27" s="2">
        <v>800.0</v>
      </c>
      <c r="D27" s="4">
        <f>(800+1000)/2</f>
        <v>900</v>
      </c>
      <c r="E27" s="7" t="s">
        <v>32</v>
      </c>
    </row>
    <row r="28">
      <c r="A28" s="3">
        <v>43379.0</v>
      </c>
      <c r="B28" s="2" t="s">
        <v>8</v>
      </c>
      <c r="C28" s="2">
        <v>3200.0</v>
      </c>
      <c r="D28" s="2">
        <v>3200.0</v>
      </c>
      <c r="E28" s="5" t="s">
        <v>33</v>
      </c>
    </row>
    <row r="29">
      <c r="A29" s="3">
        <v>43015.0</v>
      </c>
      <c r="B29" s="2" t="s">
        <v>8</v>
      </c>
      <c r="C29" s="2">
        <v>3000.0</v>
      </c>
      <c r="D29" s="2">
        <v>3000.0</v>
      </c>
      <c r="E29" s="5" t="s">
        <v>34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</hyperlinks>
  <drawing r:id="rId29"/>
</worksheet>
</file>